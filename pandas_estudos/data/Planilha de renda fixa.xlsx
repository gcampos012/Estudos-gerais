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Campos\Desktop\Projetos-Python\pandas_estudos\"/>
    </mc:Choice>
  </mc:AlternateContent>
  <xr:revisionPtr revIDLastSave="0" documentId="13_ncr:1_{0296D9F7-36C9-480F-9615-C757847CDD7A}" xr6:coauthVersionLast="47" xr6:coauthVersionMax="47" xr10:uidLastSave="{00000000-0000-0000-0000-000000000000}"/>
  <bookViews>
    <workbookView xWindow="-120" yWindow="-120" windowWidth="29040" windowHeight="15720" activeTab="1" xr2:uid="{B021BD80-A66F-48CD-A9BE-846A4CFF9404}"/>
  </bookViews>
  <sheets>
    <sheet name="Feriados" sheetId="1" r:id="rId1"/>
    <sheet name="Planilha1" sheetId="2" r:id="rId2"/>
  </sheets>
  <definedNames>
    <definedName name="_xlnm._FilterDatabase" localSheetId="0" hidden="1">Feriados!$A$1:$C$1274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" l="1"/>
  <c r="C4" i="2"/>
  <c r="G9" i="2"/>
  <c r="C9" i="2"/>
  <c r="G5" i="2"/>
  <c r="C5" i="2"/>
  <c r="G11" i="2"/>
  <c r="C11" i="2"/>
  <c r="C20" i="2" l="1"/>
  <c r="G20" i="2"/>
  <c r="C13" i="2"/>
  <c r="C18" i="2" s="1"/>
  <c r="G13" i="2"/>
  <c r="C14" i="2" l="1"/>
  <c r="C15" i="2" s="1"/>
  <c r="C16" i="2" s="1"/>
  <c r="C21" i="2" s="1"/>
  <c r="G14" i="2"/>
  <c r="G16" i="2" s="1"/>
  <c r="G21" i="2" s="1"/>
  <c r="G18" i="2"/>
  <c r="G19" i="2" l="1"/>
  <c r="G23" i="2" s="1"/>
  <c r="C19" i="2"/>
  <c r="C23" i="2" s="1"/>
</calcChain>
</file>

<file path=xl/sharedStrings.xml><?xml version="1.0" encoding="utf-8"?>
<sst xmlns="http://schemas.openxmlformats.org/spreadsheetml/2006/main" count="2579" uniqueCount="54">
  <si>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</si>
  <si>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</si>
  <si>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</si>
  <si>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</si>
  <si>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</si>
  <si>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</si>
  <si>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</si>
  <si>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</si>
  <si>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</si>
  <si>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</si>
  <si>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</si>
  <si>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</si>
  <si>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</si>
  <si>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</si>
  <si>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</si>
  <si>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</si>
  <si>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</si>
  <si>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</si>
  <si>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</si>
  <si>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</si>
  <si>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</si>
  <si>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</si>
  <si>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</si>
  <si>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</si>
  <si>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</si>
  <si>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</si>
  <si>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</si>
  <si>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</si>
  <si>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Data liquidação</t>
  </si>
  <si>
    <t>Data vencimento</t>
  </si>
  <si>
    <t>Dias corridos totais</t>
  </si>
  <si>
    <t>Dias úteis</t>
  </si>
  <si>
    <t>Valor aplicado</t>
  </si>
  <si>
    <t>DI Fut (a.a.)</t>
  </si>
  <si>
    <t>Taxa diária base 360</t>
  </si>
  <si>
    <t>Montante bruto</t>
  </si>
  <si>
    <t>Rendimento bruto</t>
  </si>
  <si>
    <t>IR</t>
  </si>
  <si>
    <t>Montante líquido</t>
  </si>
  <si>
    <t>Taxa efetiva líquida</t>
  </si>
  <si>
    <t>Taxa produto</t>
  </si>
  <si>
    <t xml:space="preserve">Taxa over ano líquida </t>
  </si>
  <si>
    <t>Taxa over ano bruta</t>
  </si>
  <si>
    <t>Isento Equivalente</t>
  </si>
  <si>
    <t>Ativo Tributável</t>
  </si>
  <si>
    <t>Ativo Isento</t>
  </si>
  <si>
    <t>Tributável Equivalente</t>
  </si>
  <si>
    <t>Taxa efetiva bruta</t>
  </si>
  <si>
    <t>Soma</t>
  </si>
  <si>
    <t>Média</t>
  </si>
  <si>
    <t>Soma Acumulada</t>
  </si>
  <si>
    <t>Contagem</t>
  </si>
  <si>
    <t>Taxa CDI diária</t>
  </si>
  <si>
    <t>Taxa diária * 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</si>
</sst>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7" formatCode="0.0000%"/>
    <numFmt numFmtId="173" formatCode="_-&quot;R$&quot;\ * #,##0.00_-;\-&quot;R$&quot;\ * #,##0.00_-;_-&quot;R$&quot;\ * &quot;-&quot;????_-;_-@_-"/>
  </numFmts>
  <fonts count="6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</borders>
  <cellStyleXfs count="4">
    <xf numFmtId="0" fontId="0" fillId="0" borderId="0"/>
    <xf numFmtId="0" fontId="1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14" fontId="1" fillId="3" borderId="0" xfId="1" applyNumberFormat="1" applyFill="1" applyAlignment="1">
      <alignment horizontal="right"/>
    </xf>
    <xf numFmtId="0" fontId="1" fillId="3" borderId="0" xfId="1" applyFill="1"/>
    <xf numFmtId="14" fontId="1" fillId="0" borderId="0" xfId="1" applyNumberFormat="1" applyAlignment="1">
      <alignment horizontal="right"/>
    </xf>
    <xf numFmtId="0" fontId="1" fillId="0" borderId="0" xfId="1"/>
    <xf numFmtId="1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44" fontId="0" fillId="0" borderId="0" xfId="2" applyFont="1"/>
    <xf numFmtId="10" fontId="0" fillId="0" borderId="0" xfId="3" applyNumberFormat="1" applyFont="1"/>
    <xf numFmtId="167" fontId="0" fillId="0" borderId="0" xfId="3" applyNumberFormat="1" applyFont="1"/>
    <xf numFmtId="173" fontId="0" fillId="0" borderId="0" xfId="0" applyNumberFormat="1"/>
    <xf numFmtId="44" fontId="0" fillId="0" borderId="0" xfId="0" applyNumberFormat="1"/>
    <xf numFmtId="10" fontId="0" fillId="0" borderId="0" xfId="0" applyNumberFormat="1"/>
    <xf numFmtId="0" fontId="0" fillId="4" borderId="0" xfId="0" applyNumberFormat="1" applyFill="1"/>
    <xf numFmtId="0" fontId="5" fillId="0" borderId="0" xfId="0" applyFont="1"/>
    <xf numFmtId="10" fontId="5" fillId="0" borderId="0" xfId="0" applyNumberFormat="1" applyFont="1"/>
    <xf numFmtId="0" fontId="5" fillId="0" borderId="0" xfId="0" applyFont="1" applyAlignment="1">
      <alignment horizontal="center"/>
    </xf>
  </cellXfs>
  <cellStyles count="4">
    <cellStyle name="Moeda" xfId="2" builtinId="4"/>
    <cellStyle name="Normal" xfId="0" builtinId="0"/>
    <cellStyle name="Normal 3" xfId="1" xr:uid="{E2E9DB65-3F57-432A-90B0-389E2E539D7C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D15F-1919-4DDE-9E91-FCA1B1FD42B5}">
  <sheetPr codeName="Planilha1"/>
  <dimension ref="A1:K1274"/>
  <sheetViews>
    <sheetView topLeftCell="A1231" workbookViewId="0">
      <selection activeCell="F1248" sqref="F1248"/>
    </sheetView>
  </sheetViews>
  <sheetFormatPr defaultRowHeight="12.75" x14ac:dyDescent="0.2"/>
  <cols>
    <col min="1" max="1" width="11.28515625" style="12" customWidth="1"/>
    <col min="2" max="2" width="18" customWidth="1"/>
    <col min="3" max="3" width="45.28515625" customWidth="1"/>
    <col min="7" max="7" width="13.28515625" customWidth="1"/>
    <col min="9" max="9" width="15" customWidth="1"/>
    <col min="11" max="11" width="10.140625" bestFit="1" customWidth="1"/>
    <col min="257" max="257" width="11.28515625" customWidth="1"/>
    <col min="258" max="258" width="18" customWidth="1"/>
    <col min="259" max="259" width="45.28515625" customWidth="1"/>
    <col min="263" max="263" width="13.28515625" customWidth="1"/>
    <col min="265" max="265" width="15" customWidth="1"/>
    <col min="267" max="267" width="10.140625" bestFit="1" customWidth="1"/>
    <col min="513" max="513" width="11.28515625" customWidth="1"/>
    <col min="514" max="514" width="18" customWidth="1"/>
    <col min="515" max="515" width="45.28515625" customWidth="1"/>
    <col min="519" max="519" width="13.28515625" customWidth="1"/>
    <col min="521" max="521" width="15" customWidth="1"/>
    <col min="523" max="523" width="10.140625" bestFit="1" customWidth="1"/>
    <col min="769" max="769" width="11.28515625" customWidth="1"/>
    <col min="770" max="770" width="18" customWidth="1"/>
    <col min="771" max="771" width="45.28515625" customWidth="1"/>
    <col min="775" max="775" width="13.28515625" customWidth="1"/>
    <col min="777" max="777" width="15" customWidth="1"/>
    <col min="779" max="779" width="10.140625" bestFit="1" customWidth="1"/>
    <col min="1025" max="1025" width="11.28515625" customWidth="1"/>
    <col min="1026" max="1026" width="18" customWidth="1"/>
    <col min="1027" max="1027" width="45.28515625" customWidth="1"/>
    <col min="1031" max="1031" width="13.28515625" customWidth="1"/>
    <col min="1033" max="1033" width="15" customWidth="1"/>
    <col min="1035" max="1035" width="10.140625" bestFit="1" customWidth="1"/>
    <col min="1281" max="1281" width="11.28515625" customWidth="1"/>
    <col min="1282" max="1282" width="18" customWidth="1"/>
    <col min="1283" max="1283" width="45.28515625" customWidth="1"/>
    <col min="1287" max="1287" width="13.28515625" customWidth="1"/>
    <col min="1289" max="1289" width="15" customWidth="1"/>
    <col min="1291" max="1291" width="10.140625" bestFit="1" customWidth="1"/>
    <col min="1537" max="1537" width="11.28515625" customWidth="1"/>
    <col min="1538" max="1538" width="18" customWidth="1"/>
    <col min="1539" max="1539" width="45.28515625" customWidth="1"/>
    <col min="1543" max="1543" width="13.28515625" customWidth="1"/>
    <col min="1545" max="1545" width="15" customWidth="1"/>
    <col min="1547" max="1547" width="10.140625" bestFit="1" customWidth="1"/>
    <col min="1793" max="1793" width="11.28515625" customWidth="1"/>
    <col min="1794" max="1794" width="18" customWidth="1"/>
    <col min="1795" max="1795" width="45.28515625" customWidth="1"/>
    <col min="1799" max="1799" width="13.28515625" customWidth="1"/>
    <col min="1801" max="1801" width="15" customWidth="1"/>
    <col min="1803" max="1803" width="10.140625" bestFit="1" customWidth="1"/>
    <col min="2049" max="2049" width="11.28515625" customWidth="1"/>
    <col min="2050" max="2050" width="18" customWidth="1"/>
    <col min="2051" max="2051" width="45.28515625" customWidth="1"/>
    <col min="2055" max="2055" width="13.28515625" customWidth="1"/>
    <col min="2057" max="2057" width="15" customWidth="1"/>
    <col min="2059" max="2059" width="10.140625" bestFit="1" customWidth="1"/>
    <col min="2305" max="2305" width="11.28515625" customWidth="1"/>
    <col min="2306" max="2306" width="18" customWidth="1"/>
    <col min="2307" max="2307" width="45.28515625" customWidth="1"/>
    <col min="2311" max="2311" width="13.28515625" customWidth="1"/>
    <col min="2313" max="2313" width="15" customWidth="1"/>
    <col min="2315" max="2315" width="10.140625" bestFit="1" customWidth="1"/>
    <col min="2561" max="2561" width="11.28515625" customWidth="1"/>
    <col min="2562" max="2562" width="18" customWidth="1"/>
    <col min="2563" max="2563" width="45.28515625" customWidth="1"/>
    <col min="2567" max="2567" width="13.28515625" customWidth="1"/>
    <col min="2569" max="2569" width="15" customWidth="1"/>
    <col min="2571" max="2571" width="10.140625" bestFit="1" customWidth="1"/>
    <col min="2817" max="2817" width="11.28515625" customWidth="1"/>
    <col min="2818" max="2818" width="18" customWidth="1"/>
    <col min="2819" max="2819" width="45.28515625" customWidth="1"/>
    <col min="2823" max="2823" width="13.28515625" customWidth="1"/>
    <col min="2825" max="2825" width="15" customWidth="1"/>
    <col min="2827" max="2827" width="10.140625" bestFit="1" customWidth="1"/>
    <col min="3073" max="3073" width="11.28515625" customWidth="1"/>
    <col min="3074" max="3074" width="18" customWidth="1"/>
    <col min="3075" max="3075" width="45.28515625" customWidth="1"/>
    <col min="3079" max="3079" width="13.28515625" customWidth="1"/>
    <col min="3081" max="3081" width="15" customWidth="1"/>
    <col min="3083" max="3083" width="10.140625" bestFit="1" customWidth="1"/>
    <col min="3329" max="3329" width="11.28515625" customWidth="1"/>
    <col min="3330" max="3330" width="18" customWidth="1"/>
    <col min="3331" max="3331" width="45.28515625" customWidth="1"/>
    <col min="3335" max="3335" width="13.28515625" customWidth="1"/>
    <col min="3337" max="3337" width="15" customWidth="1"/>
    <col min="3339" max="3339" width="10.140625" bestFit="1" customWidth="1"/>
    <col min="3585" max="3585" width="11.28515625" customWidth="1"/>
    <col min="3586" max="3586" width="18" customWidth="1"/>
    <col min="3587" max="3587" width="45.28515625" customWidth="1"/>
    <col min="3591" max="3591" width="13.28515625" customWidth="1"/>
    <col min="3593" max="3593" width="15" customWidth="1"/>
    <col min="3595" max="3595" width="10.140625" bestFit="1" customWidth="1"/>
    <col min="3841" max="3841" width="11.28515625" customWidth="1"/>
    <col min="3842" max="3842" width="18" customWidth="1"/>
    <col min="3843" max="3843" width="45.28515625" customWidth="1"/>
    <col min="3847" max="3847" width="13.28515625" customWidth="1"/>
    <col min="3849" max="3849" width="15" customWidth="1"/>
    <col min="3851" max="3851" width="10.140625" bestFit="1" customWidth="1"/>
    <col min="4097" max="4097" width="11.28515625" customWidth="1"/>
    <col min="4098" max="4098" width="18" customWidth="1"/>
    <col min="4099" max="4099" width="45.28515625" customWidth="1"/>
    <col min="4103" max="4103" width="13.28515625" customWidth="1"/>
    <col min="4105" max="4105" width="15" customWidth="1"/>
    <col min="4107" max="4107" width="10.140625" bestFit="1" customWidth="1"/>
    <col min="4353" max="4353" width="11.28515625" customWidth="1"/>
    <col min="4354" max="4354" width="18" customWidth="1"/>
    <col min="4355" max="4355" width="45.28515625" customWidth="1"/>
    <col min="4359" max="4359" width="13.28515625" customWidth="1"/>
    <col min="4361" max="4361" width="15" customWidth="1"/>
    <col min="4363" max="4363" width="10.140625" bestFit="1" customWidth="1"/>
    <col min="4609" max="4609" width="11.28515625" customWidth="1"/>
    <col min="4610" max="4610" width="18" customWidth="1"/>
    <col min="4611" max="4611" width="45.28515625" customWidth="1"/>
    <col min="4615" max="4615" width="13.28515625" customWidth="1"/>
    <col min="4617" max="4617" width="15" customWidth="1"/>
    <col min="4619" max="4619" width="10.140625" bestFit="1" customWidth="1"/>
    <col min="4865" max="4865" width="11.28515625" customWidth="1"/>
    <col min="4866" max="4866" width="18" customWidth="1"/>
    <col min="4867" max="4867" width="45.28515625" customWidth="1"/>
    <col min="4871" max="4871" width="13.28515625" customWidth="1"/>
    <col min="4873" max="4873" width="15" customWidth="1"/>
    <col min="4875" max="4875" width="10.140625" bestFit="1" customWidth="1"/>
    <col min="5121" max="5121" width="11.28515625" customWidth="1"/>
    <col min="5122" max="5122" width="18" customWidth="1"/>
    <col min="5123" max="5123" width="45.28515625" customWidth="1"/>
    <col min="5127" max="5127" width="13.28515625" customWidth="1"/>
    <col min="5129" max="5129" width="15" customWidth="1"/>
    <col min="5131" max="5131" width="10.140625" bestFit="1" customWidth="1"/>
    <col min="5377" max="5377" width="11.28515625" customWidth="1"/>
    <col min="5378" max="5378" width="18" customWidth="1"/>
    <col min="5379" max="5379" width="45.28515625" customWidth="1"/>
    <col min="5383" max="5383" width="13.28515625" customWidth="1"/>
    <col min="5385" max="5385" width="15" customWidth="1"/>
    <col min="5387" max="5387" width="10.140625" bestFit="1" customWidth="1"/>
    <col min="5633" max="5633" width="11.28515625" customWidth="1"/>
    <col min="5634" max="5634" width="18" customWidth="1"/>
    <col min="5635" max="5635" width="45.28515625" customWidth="1"/>
    <col min="5639" max="5639" width="13.28515625" customWidth="1"/>
    <col min="5641" max="5641" width="15" customWidth="1"/>
    <col min="5643" max="5643" width="10.140625" bestFit="1" customWidth="1"/>
    <col min="5889" max="5889" width="11.28515625" customWidth="1"/>
    <col min="5890" max="5890" width="18" customWidth="1"/>
    <col min="5891" max="5891" width="45.28515625" customWidth="1"/>
    <col min="5895" max="5895" width="13.28515625" customWidth="1"/>
    <col min="5897" max="5897" width="15" customWidth="1"/>
    <col min="5899" max="5899" width="10.140625" bestFit="1" customWidth="1"/>
    <col min="6145" max="6145" width="11.28515625" customWidth="1"/>
    <col min="6146" max="6146" width="18" customWidth="1"/>
    <col min="6147" max="6147" width="45.28515625" customWidth="1"/>
    <col min="6151" max="6151" width="13.28515625" customWidth="1"/>
    <col min="6153" max="6153" width="15" customWidth="1"/>
    <col min="6155" max="6155" width="10.140625" bestFit="1" customWidth="1"/>
    <col min="6401" max="6401" width="11.28515625" customWidth="1"/>
    <col min="6402" max="6402" width="18" customWidth="1"/>
    <col min="6403" max="6403" width="45.28515625" customWidth="1"/>
    <col min="6407" max="6407" width="13.28515625" customWidth="1"/>
    <col min="6409" max="6409" width="15" customWidth="1"/>
    <col min="6411" max="6411" width="10.140625" bestFit="1" customWidth="1"/>
    <col min="6657" max="6657" width="11.28515625" customWidth="1"/>
    <col min="6658" max="6658" width="18" customWidth="1"/>
    <col min="6659" max="6659" width="45.28515625" customWidth="1"/>
    <col min="6663" max="6663" width="13.28515625" customWidth="1"/>
    <col min="6665" max="6665" width="15" customWidth="1"/>
    <col min="6667" max="6667" width="10.140625" bestFit="1" customWidth="1"/>
    <col min="6913" max="6913" width="11.28515625" customWidth="1"/>
    <col min="6914" max="6914" width="18" customWidth="1"/>
    <col min="6915" max="6915" width="45.28515625" customWidth="1"/>
    <col min="6919" max="6919" width="13.28515625" customWidth="1"/>
    <col min="6921" max="6921" width="15" customWidth="1"/>
    <col min="6923" max="6923" width="10.140625" bestFit="1" customWidth="1"/>
    <col min="7169" max="7169" width="11.28515625" customWidth="1"/>
    <col min="7170" max="7170" width="18" customWidth="1"/>
    <col min="7171" max="7171" width="45.28515625" customWidth="1"/>
    <col min="7175" max="7175" width="13.28515625" customWidth="1"/>
    <col min="7177" max="7177" width="15" customWidth="1"/>
    <col min="7179" max="7179" width="10.140625" bestFit="1" customWidth="1"/>
    <col min="7425" max="7425" width="11.28515625" customWidth="1"/>
    <col min="7426" max="7426" width="18" customWidth="1"/>
    <col min="7427" max="7427" width="45.28515625" customWidth="1"/>
    <col min="7431" max="7431" width="13.28515625" customWidth="1"/>
    <col min="7433" max="7433" width="15" customWidth="1"/>
    <col min="7435" max="7435" width="10.140625" bestFit="1" customWidth="1"/>
    <col min="7681" max="7681" width="11.28515625" customWidth="1"/>
    <col min="7682" max="7682" width="18" customWidth="1"/>
    <col min="7683" max="7683" width="45.28515625" customWidth="1"/>
    <col min="7687" max="7687" width="13.28515625" customWidth="1"/>
    <col min="7689" max="7689" width="15" customWidth="1"/>
    <col min="7691" max="7691" width="10.140625" bestFit="1" customWidth="1"/>
    <col min="7937" max="7937" width="11.28515625" customWidth="1"/>
    <col min="7938" max="7938" width="18" customWidth="1"/>
    <col min="7939" max="7939" width="45.28515625" customWidth="1"/>
    <col min="7943" max="7943" width="13.28515625" customWidth="1"/>
    <col min="7945" max="7945" width="15" customWidth="1"/>
    <col min="7947" max="7947" width="10.140625" bestFit="1" customWidth="1"/>
    <col min="8193" max="8193" width="11.28515625" customWidth="1"/>
    <col min="8194" max="8194" width="18" customWidth="1"/>
    <col min="8195" max="8195" width="45.28515625" customWidth="1"/>
    <col min="8199" max="8199" width="13.28515625" customWidth="1"/>
    <col min="8201" max="8201" width="15" customWidth="1"/>
    <col min="8203" max="8203" width="10.140625" bestFit="1" customWidth="1"/>
    <col min="8449" max="8449" width="11.28515625" customWidth="1"/>
    <col min="8450" max="8450" width="18" customWidth="1"/>
    <col min="8451" max="8451" width="45.28515625" customWidth="1"/>
    <col min="8455" max="8455" width="13.28515625" customWidth="1"/>
    <col min="8457" max="8457" width="15" customWidth="1"/>
    <col min="8459" max="8459" width="10.140625" bestFit="1" customWidth="1"/>
    <col min="8705" max="8705" width="11.28515625" customWidth="1"/>
    <col min="8706" max="8706" width="18" customWidth="1"/>
    <col min="8707" max="8707" width="45.28515625" customWidth="1"/>
    <col min="8711" max="8711" width="13.28515625" customWidth="1"/>
    <col min="8713" max="8713" width="15" customWidth="1"/>
    <col min="8715" max="8715" width="10.140625" bestFit="1" customWidth="1"/>
    <col min="8961" max="8961" width="11.28515625" customWidth="1"/>
    <col min="8962" max="8962" width="18" customWidth="1"/>
    <col min="8963" max="8963" width="45.28515625" customWidth="1"/>
    <col min="8967" max="8967" width="13.28515625" customWidth="1"/>
    <col min="8969" max="8969" width="15" customWidth="1"/>
    <col min="8971" max="8971" width="10.140625" bestFit="1" customWidth="1"/>
    <col min="9217" max="9217" width="11.28515625" customWidth="1"/>
    <col min="9218" max="9218" width="18" customWidth="1"/>
    <col min="9219" max="9219" width="45.28515625" customWidth="1"/>
    <col min="9223" max="9223" width="13.28515625" customWidth="1"/>
    <col min="9225" max="9225" width="15" customWidth="1"/>
    <col min="9227" max="9227" width="10.140625" bestFit="1" customWidth="1"/>
    <col min="9473" max="9473" width="11.28515625" customWidth="1"/>
    <col min="9474" max="9474" width="18" customWidth="1"/>
    <col min="9475" max="9475" width="45.28515625" customWidth="1"/>
    <col min="9479" max="9479" width="13.28515625" customWidth="1"/>
    <col min="9481" max="9481" width="15" customWidth="1"/>
    <col min="9483" max="9483" width="10.140625" bestFit="1" customWidth="1"/>
    <col min="9729" max="9729" width="11.28515625" customWidth="1"/>
    <col min="9730" max="9730" width="18" customWidth="1"/>
    <col min="9731" max="9731" width="45.28515625" customWidth="1"/>
    <col min="9735" max="9735" width="13.28515625" customWidth="1"/>
    <col min="9737" max="9737" width="15" customWidth="1"/>
    <col min="9739" max="9739" width="10.140625" bestFit="1" customWidth="1"/>
    <col min="9985" max="9985" width="11.28515625" customWidth="1"/>
    <col min="9986" max="9986" width="18" customWidth="1"/>
    <col min="9987" max="9987" width="45.28515625" customWidth="1"/>
    <col min="9991" max="9991" width="13.28515625" customWidth="1"/>
    <col min="9993" max="9993" width="15" customWidth="1"/>
    <col min="9995" max="9995" width="10.140625" bestFit="1" customWidth="1"/>
    <col min="10241" max="10241" width="11.28515625" customWidth="1"/>
    <col min="10242" max="10242" width="18" customWidth="1"/>
    <col min="10243" max="10243" width="45.28515625" customWidth="1"/>
    <col min="10247" max="10247" width="13.28515625" customWidth="1"/>
    <col min="10249" max="10249" width="15" customWidth="1"/>
    <col min="10251" max="10251" width="10.140625" bestFit="1" customWidth="1"/>
    <col min="10497" max="10497" width="11.28515625" customWidth="1"/>
    <col min="10498" max="10498" width="18" customWidth="1"/>
    <col min="10499" max="10499" width="45.28515625" customWidth="1"/>
    <col min="10503" max="10503" width="13.28515625" customWidth="1"/>
    <col min="10505" max="10505" width="15" customWidth="1"/>
    <col min="10507" max="10507" width="10.140625" bestFit="1" customWidth="1"/>
    <col min="10753" max="10753" width="11.28515625" customWidth="1"/>
    <col min="10754" max="10754" width="18" customWidth="1"/>
    <col min="10755" max="10755" width="45.28515625" customWidth="1"/>
    <col min="10759" max="10759" width="13.28515625" customWidth="1"/>
    <col min="10761" max="10761" width="15" customWidth="1"/>
    <col min="10763" max="10763" width="10.140625" bestFit="1" customWidth="1"/>
    <col min="11009" max="11009" width="11.28515625" customWidth="1"/>
    <col min="11010" max="11010" width="18" customWidth="1"/>
    <col min="11011" max="11011" width="45.28515625" customWidth="1"/>
    <col min="11015" max="11015" width="13.28515625" customWidth="1"/>
    <col min="11017" max="11017" width="15" customWidth="1"/>
    <col min="11019" max="11019" width="10.140625" bestFit="1" customWidth="1"/>
    <col min="11265" max="11265" width="11.28515625" customWidth="1"/>
    <col min="11266" max="11266" width="18" customWidth="1"/>
    <col min="11267" max="11267" width="45.28515625" customWidth="1"/>
    <col min="11271" max="11271" width="13.28515625" customWidth="1"/>
    <col min="11273" max="11273" width="15" customWidth="1"/>
    <col min="11275" max="11275" width="10.140625" bestFit="1" customWidth="1"/>
    <col min="11521" max="11521" width="11.28515625" customWidth="1"/>
    <col min="11522" max="11522" width="18" customWidth="1"/>
    <col min="11523" max="11523" width="45.28515625" customWidth="1"/>
    <col min="11527" max="11527" width="13.28515625" customWidth="1"/>
    <col min="11529" max="11529" width="15" customWidth="1"/>
    <col min="11531" max="11531" width="10.140625" bestFit="1" customWidth="1"/>
    <col min="11777" max="11777" width="11.28515625" customWidth="1"/>
    <col min="11778" max="11778" width="18" customWidth="1"/>
    <col min="11779" max="11779" width="45.28515625" customWidth="1"/>
    <col min="11783" max="11783" width="13.28515625" customWidth="1"/>
    <col min="11785" max="11785" width="15" customWidth="1"/>
    <col min="11787" max="11787" width="10.140625" bestFit="1" customWidth="1"/>
    <col min="12033" max="12033" width="11.28515625" customWidth="1"/>
    <col min="12034" max="12034" width="18" customWidth="1"/>
    <col min="12035" max="12035" width="45.28515625" customWidth="1"/>
    <col min="12039" max="12039" width="13.28515625" customWidth="1"/>
    <col min="12041" max="12041" width="15" customWidth="1"/>
    <col min="12043" max="12043" width="10.140625" bestFit="1" customWidth="1"/>
    <col min="12289" max="12289" width="11.28515625" customWidth="1"/>
    <col min="12290" max="12290" width="18" customWidth="1"/>
    <col min="12291" max="12291" width="45.28515625" customWidth="1"/>
    <col min="12295" max="12295" width="13.28515625" customWidth="1"/>
    <col min="12297" max="12297" width="15" customWidth="1"/>
    <col min="12299" max="12299" width="10.140625" bestFit="1" customWidth="1"/>
    <col min="12545" max="12545" width="11.28515625" customWidth="1"/>
    <col min="12546" max="12546" width="18" customWidth="1"/>
    <col min="12547" max="12547" width="45.28515625" customWidth="1"/>
    <col min="12551" max="12551" width="13.28515625" customWidth="1"/>
    <col min="12553" max="12553" width="15" customWidth="1"/>
    <col min="12555" max="12555" width="10.140625" bestFit="1" customWidth="1"/>
    <col min="12801" max="12801" width="11.28515625" customWidth="1"/>
    <col min="12802" max="12802" width="18" customWidth="1"/>
    <col min="12803" max="12803" width="45.28515625" customWidth="1"/>
    <col min="12807" max="12807" width="13.28515625" customWidth="1"/>
    <col min="12809" max="12809" width="15" customWidth="1"/>
    <col min="12811" max="12811" width="10.140625" bestFit="1" customWidth="1"/>
    <col min="13057" max="13057" width="11.28515625" customWidth="1"/>
    <col min="13058" max="13058" width="18" customWidth="1"/>
    <col min="13059" max="13059" width="45.28515625" customWidth="1"/>
    <col min="13063" max="13063" width="13.28515625" customWidth="1"/>
    <col min="13065" max="13065" width="15" customWidth="1"/>
    <col min="13067" max="13067" width="10.140625" bestFit="1" customWidth="1"/>
    <col min="13313" max="13313" width="11.28515625" customWidth="1"/>
    <col min="13314" max="13314" width="18" customWidth="1"/>
    <col min="13315" max="13315" width="45.28515625" customWidth="1"/>
    <col min="13319" max="13319" width="13.28515625" customWidth="1"/>
    <col min="13321" max="13321" width="15" customWidth="1"/>
    <col min="13323" max="13323" width="10.140625" bestFit="1" customWidth="1"/>
    <col min="13569" max="13569" width="11.28515625" customWidth="1"/>
    <col min="13570" max="13570" width="18" customWidth="1"/>
    <col min="13571" max="13571" width="45.28515625" customWidth="1"/>
    <col min="13575" max="13575" width="13.28515625" customWidth="1"/>
    <col min="13577" max="13577" width="15" customWidth="1"/>
    <col min="13579" max="13579" width="10.140625" bestFit="1" customWidth="1"/>
    <col min="13825" max="13825" width="11.28515625" customWidth="1"/>
    <col min="13826" max="13826" width="18" customWidth="1"/>
    <col min="13827" max="13827" width="45.28515625" customWidth="1"/>
    <col min="13831" max="13831" width="13.28515625" customWidth="1"/>
    <col min="13833" max="13833" width="15" customWidth="1"/>
    <col min="13835" max="13835" width="10.140625" bestFit="1" customWidth="1"/>
    <col min="14081" max="14081" width="11.28515625" customWidth="1"/>
    <col min="14082" max="14082" width="18" customWidth="1"/>
    <col min="14083" max="14083" width="45.28515625" customWidth="1"/>
    <col min="14087" max="14087" width="13.28515625" customWidth="1"/>
    <col min="14089" max="14089" width="15" customWidth="1"/>
    <col min="14091" max="14091" width="10.140625" bestFit="1" customWidth="1"/>
    <col min="14337" max="14337" width="11.28515625" customWidth="1"/>
    <col min="14338" max="14338" width="18" customWidth="1"/>
    <col min="14339" max="14339" width="45.28515625" customWidth="1"/>
    <col min="14343" max="14343" width="13.28515625" customWidth="1"/>
    <col min="14345" max="14345" width="15" customWidth="1"/>
    <col min="14347" max="14347" width="10.140625" bestFit="1" customWidth="1"/>
    <col min="14593" max="14593" width="11.28515625" customWidth="1"/>
    <col min="14594" max="14594" width="18" customWidth="1"/>
    <col min="14595" max="14595" width="45.28515625" customWidth="1"/>
    <col min="14599" max="14599" width="13.28515625" customWidth="1"/>
    <col min="14601" max="14601" width="15" customWidth="1"/>
    <col min="14603" max="14603" width="10.140625" bestFit="1" customWidth="1"/>
    <col min="14849" max="14849" width="11.28515625" customWidth="1"/>
    <col min="14850" max="14850" width="18" customWidth="1"/>
    <col min="14851" max="14851" width="45.28515625" customWidth="1"/>
    <col min="14855" max="14855" width="13.28515625" customWidth="1"/>
    <col min="14857" max="14857" width="15" customWidth="1"/>
    <col min="14859" max="14859" width="10.140625" bestFit="1" customWidth="1"/>
    <col min="15105" max="15105" width="11.28515625" customWidth="1"/>
    <col min="15106" max="15106" width="18" customWidth="1"/>
    <col min="15107" max="15107" width="45.28515625" customWidth="1"/>
    <col min="15111" max="15111" width="13.28515625" customWidth="1"/>
    <col min="15113" max="15113" width="15" customWidth="1"/>
    <col min="15115" max="15115" width="10.140625" bestFit="1" customWidth="1"/>
    <col min="15361" max="15361" width="11.28515625" customWidth="1"/>
    <col min="15362" max="15362" width="18" customWidth="1"/>
    <col min="15363" max="15363" width="45.28515625" customWidth="1"/>
    <col min="15367" max="15367" width="13.28515625" customWidth="1"/>
    <col min="15369" max="15369" width="15" customWidth="1"/>
    <col min="15371" max="15371" width="10.140625" bestFit="1" customWidth="1"/>
    <col min="15617" max="15617" width="11.28515625" customWidth="1"/>
    <col min="15618" max="15618" width="18" customWidth="1"/>
    <col min="15619" max="15619" width="45.28515625" customWidth="1"/>
    <col min="15623" max="15623" width="13.28515625" customWidth="1"/>
    <col min="15625" max="15625" width="15" customWidth="1"/>
    <col min="15627" max="15627" width="10.140625" bestFit="1" customWidth="1"/>
    <col min="15873" max="15873" width="11.28515625" customWidth="1"/>
    <col min="15874" max="15874" width="18" customWidth="1"/>
    <col min="15875" max="15875" width="45.28515625" customWidth="1"/>
    <col min="15879" max="15879" width="13.28515625" customWidth="1"/>
    <col min="15881" max="15881" width="15" customWidth="1"/>
    <col min="15883" max="15883" width="10.140625" bestFit="1" customWidth="1"/>
    <col min="16129" max="16129" width="11.28515625" customWidth="1"/>
    <col min="16130" max="16130" width="18" customWidth="1"/>
    <col min="16131" max="16131" width="45.28515625" customWidth="1"/>
    <col min="16135" max="16135" width="13.28515625" customWidth="1"/>
    <col min="16137" max="16137" width="15" customWidth="1"/>
    <col min="16139" max="16139" width="10.140625" bestFit="1" customWidth="1"/>
  </cols>
  <sheetData>
    <row r="1" spans="1:3" ht="13.5" thickBot="1" x14ac:dyDescent="0.25">
      <c r="A1" s="1" t="s">
        <v>0</v>
      </c>
      <c r="B1" s="2" t="s">
        <v>1</v>
      </c>
      <c r="C1" s="3" t="s">
        <v>2</v>
      </c>
    </row>
    <row r="2" spans="1:3" ht="15" x14ac:dyDescent="0.25">
      <c r="A2" s="4">
        <v>36892</v>
      </c>
      <c r="B2" s="5" t="s">
        <v>3</v>
      </c>
      <c r="C2" s="5" t="s">
        <v>4</v>
      </c>
    </row>
    <row r="3" spans="1:3" ht="15" x14ac:dyDescent="0.25">
      <c r="A3" s="4">
        <v>36948</v>
      </c>
      <c r="B3" s="5" t="s">
        <v>3</v>
      </c>
      <c r="C3" s="5" t="s">
        <v>5</v>
      </c>
    </row>
    <row r="4" spans="1:3" ht="15" x14ac:dyDescent="0.25">
      <c r="A4" s="4">
        <v>36949</v>
      </c>
      <c r="B4" s="5" t="s">
        <v>6</v>
      </c>
      <c r="C4" s="5" t="s">
        <v>5</v>
      </c>
    </row>
    <row r="5" spans="1:3" ht="15" x14ac:dyDescent="0.25">
      <c r="A5" s="4">
        <v>36994</v>
      </c>
      <c r="B5" s="5" t="s">
        <v>7</v>
      </c>
      <c r="C5" s="5" t="s">
        <v>8</v>
      </c>
    </row>
    <row r="6" spans="1:3" ht="15" x14ac:dyDescent="0.25">
      <c r="A6" s="4">
        <v>37002</v>
      </c>
      <c r="B6" s="5" t="s">
        <v>9</v>
      </c>
      <c r="C6" s="5" t="s">
        <v>10</v>
      </c>
    </row>
    <row r="7" spans="1:3" ht="15" x14ac:dyDescent="0.25">
      <c r="A7" s="4">
        <v>37012</v>
      </c>
      <c r="B7" s="5" t="s">
        <v>6</v>
      </c>
      <c r="C7" s="5" t="s">
        <v>11</v>
      </c>
    </row>
    <row r="8" spans="1:3" ht="15" x14ac:dyDescent="0.25">
      <c r="A8" s="4">
        <v>37056</v>
      </c>
      <c r="B8" s="5" t="s">
        <v>12</v>
      </c>
      <c r="C8" s="5" t="s">
        <v>13</v>
      </c>
    </row>
    <row r="9" spans="1:3" ht="15" x14ac:dyDescent="0.25">
      <c r="A9" s="4">
        <v>37141</v>
      </c>
      <c r="B9" s="5" t="s">
        <v>7</v>
      </c>
      <c r="C9" s="5" t="s">
        <v>14</v>
      </c>
    </row>
    <row r="10" spans="1:3" ht="15" x14ac:dyDescent="0.25">
      <c r="A10" s="4">
        <v>37176</v>
      </c>
      <c r="B10" s="5" t="s">
        <v>7</v>
      </c>
      <c r="C10" s="5" t="s">
        <v>15</v>
      </c>
    </row>
    <row r="11" spans="1:3" ht="15" x14ac:dyDescent="0.25">
      <c r="A11" s="4">
        <v>37197</v>
      </c>
      <c r="B11" s="5" t="s">
        <v>7</v>
      </c>
      <c r="C11" s="5" t="s">
        <v>16</v>
      </c>
    </row>
    <row r="12" spans="1:3" ht="15" x14ac:dyDescent="0.25">
      <c r="A12" s="4">
        <v>37210</v>
      </c>
      <c r="B12" s="5" t="s">
        <v>12</v>
      </c>
      <c r="C12" s="5" t="s">
        <v>17</v>
      </c>
    </row>
    <row r="13" spans="1:3" ht="15" x14ac:dyDescent="0.25">
      <c r="A13" s="4">
        <v>37250</v>
      </c>
      <c r="B13" s="5" t="s">
        <v>6</v>
      </c>
      <c r="C13" s="5" t="s">
        <v>18</v>
      </c>
    </row>
    <row r="14" spans="1:3" ht="15" x14ac:dyDescent="0.25">
      <c r="A14" s="6">
        <v>37257</v>
      </c>
      <c r="B14" s="7" t="s">
        <v>6</v>
      </c>
      <c r="C14" s="7" t="s">
        <v>4</v>
      </c>
    </row>
    <row r="15" spans="1:3" ht="15" x14ac:dyDescent="0.25">
      <c r="A15" s="6">
        <v>37298</v>
      </c>
      <c r="B15" s="7" t="s">
        <v>3</v>
      </c>
      <c r="C15" s="7" t="s">
        <v>5</v>
      </c>
    </row>
    <row r="16" spans="1:3" ht="15" x14ac:dyDescent="0.25">
      <c r="A16" s="6">
        <v>37299</v>
      </c>
      <c r="B16" s="7" t="s">
        <v>6</v>
      </c>
      <c r="C16" s="7" t="s">
        <v>5</v>
      </c>
    </row>
    <row r="17" spans="1:3" ht="15" x14ac:dyDescent="0.25">
      <c r="A17" s="6">
        <v>37344</v>
      </c>
      <c r="B17" s="7" t="s">
        <v>7</v>
      </c>
      <c r="C17" s="7" t="s">
        <v>8</v>
      </c>
    </row>
    <row r="18" spans="1:3" ht="15" x14ac:dyDescent="0.25">
      <c r="A18" s="6">
        <v>37367</v>
      </c>
      <c r="B18" s="7" t="s">
        <v>19</v>
      </c>
      <c r="C18" s="7" t="s">
        <v>10</v>
      </c>
    </row>
    <row r="19" spans="1:3" ht="15" x14ac:dyDescent="0.25">
      <c r="A19" s="6">
        <v>37377</v>
      </c>
      <c r="B19" s="7" t="s">
        <v>20</v>
      </c>
      <c r="C19" s="7" t="s">
        <v>11</v>
      </c>
    </row>
    <row r="20" spans="1:3" ht="15" x14ac:dyDescent="0.25">
      <c r="A20" s="6">
        <v>37406</v>
      </c>
      <c r="B20" s="7" t="s">
        <v>12</v>
      </c>
      <c r="C20" s="7" t="s">
        <v>13</v>
      </c>
    </row>
    <row r="21" spans="1:3" ht="15" x14ac:dyDescent="0.25">
      <c r="A21" s="6">
        <v>37506</v>
      </c>
      <c r="B21" s="7" t="s">
        <v>9</v>
      </c>
      <c r="C21" s="7" t="s">
        <v>14</v>
      </c>
    </row>
    <row r="22" spans="1:3" ht="15" x14ac:dyDescent="0.25">
      <c r="A22" s="6">
        <v>37541</v>
      </c>
      <c r="B22" s="7" t="s">
        <v>9</v>
      </c>
      <c r="C22" s="7" t="s">
        <v>15</v>
      </c>
    </row>
    <row r="23" spans="1:3" ht="15" x14ac:dyDescent="0.25">
      <c r="A23" s="6">
        <v>37562</v>
      </c>
      <c r="B23" s="7" t="s">
        <v>9</v>
      </c>
      <c r="C23" s="7" t="s">
        <v>16</v>
      </c>
    </row>
    <row r="24" spans="1:3" ht="15" x14ac:dyDescent="0.25">
      <c r="A24" s="6">
        <v>37575</v>
      </c>
      <c r="B24" s="7" t="s">
        <v>7</v>
      </c>
      <c r="C24" s="7" t="s">
        <v>17</v>
      </c>
    </row>
    <row r="25" spans="1:3" ht="15" x14ac:dyDescent="0.25">
      <c r="A25" s="6">
        <v>37615</v>
      </c>
      <c r="B25" s="7" t="s">
        <v>20</v>
      </c>
      <c r="C25" s="7" t="s">
        <v>18</v>
      </c>
    </row>
    <row r="26" spans="1:3" ht="15" x14ac:dyDescent="0.25">
      <c r="A26" s="4">
        <v>37622</v>
      </c>
      <c r="B26" s="5" t="s">
        <v>20</v>
      </c>
      <c r="C26" s="5" t="s">
        <v>4</v>
      </c>
    </row>
    <row r="27" spans="1:3" ht="15" x14ac:dyDescent="0.25">
      <c r="A27" s="4">
        <v>37683</v>
      </c>
      <c r="B27" s="5" t="s">
        <v>3</v>
      </c>
      <c r="C27" s="5" t="s">
        <v>5</v>
      </c>
    </row>
    <row r="28" spans="1:3" ht="15" x14ac:dyDescent="0.25">
      <c r="A28" s="4">
        <v>37684</v>
      </c>
      <c r="B28" s="5" t="s">
        <v>6</v>
      </c>
      <c r="C28" s="5" t="s">
        <v>5</v>
      </c>
    </row>
    <row r="29" spans="1:3" ht="15" x14ac:dyDescent="0.25">
      <c r="A29" s="4">
        <v>37729</v>
      </c>
      <c r="B29" s="5" t="s">
        <v>7</v>
      </c>
      <c r="C29" s="5" t="s">
        <v>8</v>
      </c>
    </row>
    <row r="30" spans="1:3" ht="15" x14ac:dyDescent="0.25">
      <c r="A30" s="4">
        <v>37732</v>
      </c>
      <c r="B30" s="5" t="s">
        <v>3</v>
      </c>
      <c r="C30" s="5" t="s">
        <v>10</v>
      </c>
    </row>
    <row r="31" spans="1:3" ht="15" x14ac:dyDescent="0.25">
      <c r="A31" s="4">
        <v>37742</v>
      </c>
      <c r="B31" s="5" t="s">
        <v>12</v>
      </c>
      <c r="C31" s="5" t="s">
        <v>11</v>
      </c>
    </row>
    <row r="32" spans="1:3" ht="15" x14ac:dyDescent="0.25">
      <c r="A32" s="4">
        <v>37791</v>
      </c>
      <c r="B32" s="5" t="s">
        <v>12</v>
      </c>
      <c r="C32" s="5" t="s">
        <v>13</v>
      </c>
    </row>
    <row r="33" spans="1:3" ht="15" x14ac:dyDescent="0.25">
      <c r="A33" s="4">
        <v>37871</v>
      </c>
      <c r="B33" s="5" t="s">
        <v>19</v>
      </c>
      <c r="C33" s="5" t="s">
        <v>14</v>
      </c>
    </row>
    <row r="34" spans="1:3" ht="15" x14ac:dyDescent="0.25">
      <c r="A34" s="4">
        <v>37906</v>
      </c>
      <c r="B34" s="5" t="s">
        <v>19</v>
      </c>
      <c r="C34" s="5" t="s">
        <v>15</v>
      </c>
    </row>
    <row r="35" spans="1:3" ht="15" x14ac:dyDescent="0.25">
      <c r="A35" s="4">
        <v>37927</v>
      </c>
      <c r="B35" s="5" t="s">
        <v>19</v>
      </c>
      <c r="C35" s="5" t="s">
        <v>16</v>
      </c>
    </row>
    <row r="36" spans="1:3" ht="15" x14ac:dyDescent="0.25">
      <c r="A36" s="4">
        <v>37940</v>
      </c>
      <c r="B36" s="5" t="s">
        <v>9</v>
      </c>
      <c r="C36" s="5" t="s">
        <v>17</v>
      </c>
    </row>
    <row r="37" spans="1:3" ht="15" x14ac:dyDescent="0.25">
      <c r="A37" s="4">
        <v>37980</v>
      </c>
      <c r="B37" s="5" t="s">
        <v>12</v>
      </c>
      <c r="C37" s="5" t="s">
        <v>18</v>
      </c>
    </row>
    <row r="38" spans="1:3" ht="15" x14ac:dyDescent="0.25">
      <c r="A38" s="6">
        <v>37987</v>
      </c>
      <c r="B38" s="7" t="s">
        <v>12</v>
      </c>
      <c r="C38" s="7" t="s">
        <v>4</v>
      </c>
    </row>
    <row r="39" spans="1:3" ht="15" x14ac:dyDescent="0.25">
      <c r="A39" s="6">
        <v>38040</v>
      </c>
      <c r="B39" s="7" t="s">
        <v>3</v>
      </c>
      <c r="C39" s="7" t="s">
        <v>5</v>
      </c>
    </row>
    <row r="40" spans="1:3" ht="15" x14ac:dyDescent="0.25">
      <c r="A40" s="6">
        <v>38041</v>
      </c>
      <c r="B40" s="7" t="s">
        <v>6</v>
      </c>
      <c r="C40" s="7" t="s">
        <v>5</v>
      </c>
    </row>
    <row r="41" spans="1:3" ht="15" x14ac:dyDescent="0.25">
      <c r="A41" s="6">
        <v>38086</v>
      </c>
      <c r="B41" s="7" t="s">
        <v>7</v>
      </c>
      <c r="C41" s="7" t="s">
        <v>8</v>
      </c>
    </row>
    <row r="42" spans="1:3" ht="15" x14ac:dyDescent="0.25">
      <c r="A42" s="6">
        <v>38098</v>
      </c>
      <c r="B42" s="7" t="s">
        <v>20</v>
      </c>
      <c r="C42" s="7" t="s">
        <v>10</v>
      </c>
    </row>
    <row r="43" spans="1:3" ht="15" x14ac:dyDescent="0.25">
      <c r="A43" s="6">
        <v>38108</v>
      </c>
      <c r="B43" s="7" t="s">
        <v>9</v>
      </c>
      <c r="C43" s="7" t="s">
        <v>11</v>
      </c>
    </row>
    <row r="44" spans="1:3" ht="15" x14ac:dyDescent="0.25">
      <c r="A44" s="6">
        <v>38148</v>
      </c>
      <c r="B44" s="7" t="s">
        <v>12</v>
      </c>
      <c r="C44" s="7" t="s">
        <v>13</v>
      </c>
    </row>
    <row r="45" spans="1:3" ht="15" x14ac:dyDescent="0.25">
      <c r="A45" s="6">
        <v>38237</v>
      </c>
      <c r="B45" s="7" t="s">
        <v>6</v>
      </c>
      <c r="C45" s="7" t="s">
        <v>14</v>
      </c>
    </row>
    <row r="46" spans="1:3" ht="15" x14ac:dyDescent="0.25">
      <c r="A46" s="6">
        <v>38272</v>
      </c>
      <c r="B46" s="7" t="s">
        <v>6</v>
      </c>
      <c r="C46" s="7" t="s">
        <v>15</v>
      </c>
    </row>
    <row r="47" spans="1:3" ht="15" x14ac:dyDescent="0.25">
      <c r="A47" s="6">
        <v>38293</v>
      </c>
      <c r="B47" s="7" t="s">
        <v>6</v>
      </c>
      <c r="C47" s="7" t="s">
        <v>16</v>
      </c>
    </row>
    <row r="48" spans="1:3" ht="15" x14ac:dyDescent="0.25">
      <c r="A48" s="6">
        <v>38306</v>
      </c>
      <c r="B48" s="7" t="s">
        <v>3</v>
      </c>
      <c r="C48" s="7" t="s">
        <v>17</v>
      </c>
    </row>
    <row r="49" spans="1:3" ht="15" x14ac:dyDescent="0.25">
      <c r="A49" s="6">
        <v>38346</v>
      </c>
      <c r="B49" s="7" t="s">
        <v>9</v>
      </c>
      <c r="C49" s="7" t="s">
        <v>18</v>
      </c>
    </row>
    <row r="50" spans="1:3" ht="15" x14ac:dyDescent="0.25">
      <c r="A50" s="4">
        <v>38353</v>
      </c>
      <c r="B50" s="5" t="s">
        <v>9</v>
      </c>
      <c r="C50" s="5" t="s">
        <v>4</v>
      </c>
    </row>
    <row r="51" spans="1:3" ht="15" x14ac:dyDescent="0.25">
      <c r="A51" s="4">
        <v>38390</v>
      </c>
      <c r="B51" s="5" t="s">
        <v>3</v>
      </c>
      <c r="C51" s="5" t="s">
        <v>5</v>
      </c>
    </row>
    <row r="52" spans="1:3" ht="15" x14ac:dyDescent="0.25">
      <c r="A52" s="4">
        <v>38391</v>
      </c>
      <c r="B52" s="5" t="s">
        <v>6</v>
      </c>
      <c r="C52" s="5" t="s">
        <v>5</v>
      </c>
    </row>
    <row r="53" spans="1:3" ht="15" x14ac:dyDescent="0.25">
      <c r="A53" s="4">
        <v>38436</v>
      </c>
      <c r="B53" s="5" t="s">
        <v>7</v>
      </c>
      <c r="C53" s="5" t="s">
        <v>8</v>
      </c>
    </row>
    <row r="54" spans="1:3" ht="15" x14ac:dyDescent="0.25">
      <c r="A54" s="4">
        <v>38463</v>
      </c>
      <c r="B54" s="5" t="s">
        <v>12</v>
      </c>
      <c r="C54" s="5" t="s">
        <v>10</v>
      </c>
    </row>
    <row r="55" spans="1:3" ht="15" x14ac:dyDescent="0.25">
      <c r="A55" s="4">
        <v>38473</v>
      </c>
      <c r="B55" s="5" t="s">
        <v>19</v>
      </c>
      <c r="C55" s="5" t="s">
        <v>11</v>
      </c>
    </row>
    <row r="56" spans="1:3" ht="15" x14ac:dyDescent="0.25">
      <c r="A56" s="4">
        <v>38498</v>
      </c>
      <c r="B56" s="5" t="s">
        <v>12</v>
      </c>
      <c r="C56" s="5" t="s">
        <v>13</v>
      </c>
    </row>
    <row r="57" spans="1:3" ht="15" x14ac:dyDescent="0.25">
      <c r="A57" s="4">
        <v>38602</v>
      </c>
      <c r="B57" s="5" t="s">
        <v>20</v>
      </c>
      <c r="C57" s="5" t="s">
        <v>14</v>
      </c>
    </row>
    <row r="58" spans="1:3" ht="15" x14ac:dyDescent="0.25">
      <c r="A58" s="4">
        <v>38637</v>
      </c>
      <c r="B58" s="5" t="s">
        <v>20</v>
      </c>
      <c r="C58" s="5" t="s">
        <v>15</v>
      </c>
    </row>
    <row r="59" spans="1:3" ht="15" x14ac:dyDescent="0.25">
      <c r="A59" s="4">
        <v>38658</v>
      </c>
      <c r="B59" s="5" t="s">
        <v>20</v>
      </c>
      <c r="C59" s="5" t="s">
        <v>16</v>
      </c>
    </row>
    <row r="60" spans="1:3" ht="15" x14ac:dyDescent="0.25">
      <c r="A60" s="4">
        <v>38671</v>
      </c>
      <c r="B60" s="5" t="s">
        <v>6</v>
      </c>
      <c r="C60" s="5" t="s">
        <v>17</v>
      </c>
    </row>
    <row r="61" spans="1:3" ht="15" x14ac:dyDescent="0.25">
      <c r="A61" s="4">
        <v>38711</v>
      </c>
      <c r="B61" s="5" t="s">
        <v>19</v>
      </c>
      <c r="C61" s="5" t="s">
        <v>18</v>
      </c>
    </row>
    <row r="62" spans="1:3" ht="15" x14ac:dyDescent="0.25">
      <c r="A62" s="6">
        <v>38718</v>
      </c>
      <c r="B62" s="7" t="s">
        <v>19</v>
      </c>
      <c r="C62" s="7" t="s">
        <v>4</v>
      </c>
    </row>
    <row r="63" spans="1:3" ht="15" x14ac:dyDescent="0.25">
      <c r="A63" s="6">
        <v>38775</v>
      </c>
      <c r="B63" s="7" t="s">
        <v>3</v>
      </c>
      <c r="C63" s="7" t="s">
        <v>5</v>
      </c>
    </row>
    <row r="64" spans="1:3" ht="15" x14ac:dyDescent="0.25">
      <c r="A64" s="6">
        <v>38776</v>
      </c>
      <c r="B64" s="7" t="s">
        <v>6</v>
      </c>
      <c r="C64" s="7" t="s">
        <v>5</v>
      </c>
    </row>
    <row r="65" spans="1:3" ht="15" x14ac:dyDescent="0.25">
      <c r="A65" s="6">
        <v>38821</v>
      </c>
      <c r="B65" s="7" t="s">
        <v>7</v>
      </c>
      <c r="C65" s="7" t="s">
        <v>8</v>
      </c>
    </row>
    <row r="66" spans="1:3" ht="15" x14ac:dyDescent="0.25">
      <c r="A66" s="6">
        <v>38828</v>
      </c>
      <c r="B66" s="7" t="s">
        <v>7</v>
      </c>
      <c r="C66" s="7" t="s">
        <v>10</v>
      </c>
    </row>
    <row r="67" spans="1:3" ht="15" x14ac:dyDescent="0.25">
      <c r="A67" s="6">
        <v>38838</v>
      </c>
      <c r="B67" s="7" t="s">
        <v>3</v>
      </c>
      <c r="C67" s="7" t="s">
        <v>11</v>
      </c>
    </row>
    <row r="68" spans="1:3" ht="15" x14ac:dyDescent="0.25">
      <c r="A68" s="6">
        <v>38883</v>
      </c>
      <c r="B68" s="7" t="s">
        <v>12</v>
      </c>
      <c r="C68" s="7" t="s">
        <v>13</v>
      </c>
    </row>
    <row r="69" spans="1:3" ht="15" x14ac:dyDescent="0.25">
      <c r="A69" s="6">
        <v>38967</v>
      </c>
      <c r="B69" s="7" t="s">
        <v>12</v>
      </c>
      <c r="C69" s="7" t="s">
        <v>14</v>
      </c>
    </row>
    <row r="70" spans="1:3" ht="15" x14ac:dyDescent="0.25">
      <c r="A70" s="6">
        <v>39002</v>
      </c>
      <c r="B70" s="7" t="s">
        <v>12</v>
      </c>
      <c r="C70" s="7" t="s">
        <v>15</v>
      </c>
    </row>
    <row r="71" spans="1:3" ht="15" x14ac:dyDescent="0.25">
      <c r="A71" s="6">
        <v>39023</v>
      </c>
      <c r="B71" s="7" t="s">
        <v>12</v>
      </c>
      <c r="C71" s="7" t="s">
        <v>16</v>
      </c>
    </row>
    <row r="72" spans="1:3" ht="15" x14ac:dyDescent="0.25">
      <c r="A72" s="6">
        <v>39036</v>
      </c>
      <c r="B72" s="7" t="s">
        <v>20</v>
      </c>
      <c r="C72" s="7" t="s">
        <v>17</v>
      </c>
    </row>
    <row r="73" spans="1:3" ht="15" x14ac:dyDescent="0.25">
      <c r="A73" s="6">
        <v>39076</v>
      </c>
      <c r="B73" s="7" t="s">
        <v>3</v>
      </c>
      <c r="C73" s="7" t="s">
        <v>18</v>
      </c>
    </row>
    <row r="74" spans="1:3" ht="15" x14ac:dyDescent="0.25">
      <c r="A74" s="4">
        <v>39083</v>
      </c>
      <c r="B74" s="5" t="s">
        <v>3</v>
      </c>
      <c r="C74" s="5" t="s">
        <v>4</v>
      </c>
    </row>
    <row r="75" spans="1:3" ht="15" x14ac:dyDescent="0.25">
      <c r="A75" s="4">
        <v>39132</v>
      </c>
      <c r="B75" s="5" t="s">
        <v>3</v>
      </c>
      <c r="C75" s="5" t="s">
        <v>5</v>
      </c>
    </row>
    <row r="76" spans="1:3" ht="15" x14ac:dyDescent="0.25">
      <c r="A76" s="4">
        <v>39133</v>
      </c>
      <c r="B76" s="5" t="s">
        <v>6</v>
      </c>
      <c r="C76" s="5" t="s">
        <v>5</v>
      </c>
    </row>
    <row r="77" spans="1:3" ht="15" x14ac:dyDescent="0.25">
      <c r="A77" s="4">
        <v>39178</v>
      </c>
      <c r="B77" s="5" t="s">
        <v>7</v>
      </c>
      <c r="C77" s="5" t="s">
        <v>8</v>
      </c>
    </row>
    <row r="78" spans="1:3" ht="15" x14ac:dyDescent="0.25">
      <c r="A78" s="4">
        <v>39193</v>
      </c>
      <c r="B78" s="5" t="s">
        <v>9</v>
      </c>
      <c r="C78" s="5" t="s">
        <v>10</v>
      </c>
    </row>
    <row r="79" spans="1:3" ht="15" x14ac:dyDescent="0.25">
      <c r="A79" s="4">
        <v>39203</v>
      </c>
      <c r="B79" s="5" t="s">
        <v>6</v>
      </c>
      <c r="C79" s="5" t="s">
        <v>11</v>
      </c>
    </row>
    <row r="80" spans="1:3" ht="15" x14ac:dyDescent="0.25">
      <c r="A80" s="4">
        <v>39240</v>
      </c>
      <c r="B80" s="5" t="s">
        <v>12</v>
      </c>
      <c r="C80" s="5" t="s">
        <v>13</v>
      </c>
    </row>
    <row r="81" spans="1:3" ht="15" x14ac:dyDescent="0.25">
      <c r="A81" s="4">
        <v>39332</v>
      </c>
      <c r="B81" s="5" t="s">
        <v>7</v>
      </c>
      <c r="C81" s="5" t="s">
        <v>14</v>
      </c>
    </row>
    <row r="82" spans="1:3" ht="15" x14ac:dyDescent="0.25">
      <c r="A82" s="4">
        <v>39367</v>
      </c>
      <c r="B82" s="5" t="s">
        <v>7</v>
      </c>
      <c r="C82" s="5" t="s">
        <v>15</v>
      </c>
    </row>
    <row r="83" spans="1:3" ht="15" x14ac:dyDescent="0.25">
      <c r="A83" s="4">
        <v>39388</v>
      </c>
      <c r="B83" s="5" t="s">
        <v>7</v>
      </c>
      <c r="C83" s="5" t="s">
        <v>16</v>
      </c>
    </row>
    <row r="84" spans="1:3" ht="15" x14ac:dyDescent="0.25">
      <c r="A84" s="4">
        <v>39401</v>
      </c>
      <c r="B84" s="5" t="s">
        <v>12</v>
      </c>
      <c r="C84" s="5" t="s">
        <v>17</v>
      </c>
    </row>
    <row r="85" spans="1:3" ht="15" x14ac:dyDescent="0.25">
      <c r="A85" s="4">
        <v>39441</v>
      </c>
      <c r="B85" s="5" t="s">
        <v>6</v>
      </c>
      <c r="C85" s="5" t="s">
        <v>18</v>
      </c>
    </row>
    <row r="86" spans="1:3" ht="15" x14ac:dyDescent="0.25">
      <c r="A86" s="6">
        <v>39448</v>
      </c>
      <c r="B86" s="7" t="s">
        <v>6</v>
      </c>
      <c r="C86" s="7" t="s">
        <v>4</v>
      </c>
    </row>
    <row r="87" spans="1:3" ht="15" x14ac:dyDescent="0.25">
      <c r="A87" s="6">
        <v>39482</v>
      </c>
      <c r="B87" s="7" t="s">
        <v>3</v>
      </c>
      <c r="C87" s="7" t="s">
        <v>5</v>
      </c>
    </row>
    <row r="88" spans="1:3" ht="15" x14ac:dyDescent="0.25">
      <c r="A88" s="6">
        <v>39483</v>
      </c>
      <c r="B88" s="7" t="s">
        <v>6</v>
      </c>
      <c r="C88" s="7" t="s">
        <v>5</v>
      </c>
    </row>
    <row r="89" spans="1:3" ht="15" x14ac:dyDescent="0.25">
      <c r="A89" s="6">
        <v>39528</v>
      </c>
      <c r="B89" s="7" t="s">
        <v>7</v>
      </c>
      <c r="C89" s="7" t="s">
        <v>8</v>
      </c>
    </row>
    <row r="90" spans="1:3" ht="15" x14ac:dyDescent="0.25">
      <c r="A90" s="6">
        <v>39559</v>
      </c>
      <c r="B90" s="7" t="s">
        <v>3</v>
      </c>
      <c r="C90" s="7" t="s">
        <v>10</v>
      </c>
    </row>
    <row r="91" spans="1:3" ht="15" x14ac:dyDescent="0.25">
      <c r="A91" s="6">
        <v>39569</v>
      </c>
      <c r="B91" s="7" t="s">
        <v>12</v>
      </c>
      <c r="C91" s="7" t="s">
        <v>11</v>
      </c>
    </row>
    <row r="92" spans="1:3" ht="15" x14ac:dyDescent="0.25">
      <c r="A92" s="6">
        <v>39590</v>
      </c>
      <c r="B92" s="7" t="s">
        <v>12</v>
      </c>
      <c r="C92" s="7" t="s">
        <v>13</v>
      </c>
    </row>
    <row r="93" spans="1:3" ht="15" x14ac:dyDescent="0.25">
      <c r="A93" s="6">
        <v>39698</v>
      </c>
      <c r="B93" s="7" t="s">
        <v>19</v>
      </c>
      <c r="C93" s="7" t="s">
        <v>14</v>
      </c>
    </row>
    <row r="94" spans="1:3" ht="15" x14ac:dyDescent="0.25">
      <c r="A94" s="6">
        <v>39733</v>
      </c>
      <c r="B94" s="7" t="s">
        <v>19</v>
      </c>
      <c r="C94" s="7" t="s">
        <v>15</v>
      </c>
    </row>
    <row r="95" spans="1:3" ht="15" x14ac:dyDescent="0.25">
      <c r="A95" s="6">
        <v>39754</v>
      </c>
      <c r="B95" s="7" t="s">
        <v>19</v>
      </c>
      <c r="C95" s="7" t="s">
        <v>16</v>
      </c>
    </row>
    <row r="96" spans="1:3" ht="15" x14ac:dyDescent="0.25">
      <c r="A96" s="6">
        <v>39767</v>
      </c>
      <c r="B96" s="7" t="s">
        <v>9</v>
      </c>
      <c r="C96" s="7" t="s">
        <v>17</v>
      </c>
    </row>
    <row r="97" spans="1:3" ht="15" x14ac:dyDescent="0.25">
      <c r="A97" s="6">
        <v>39807</v>
      </c>
      <c r="B97" s="7" t="s">
        <v>12</v>
      </c>
      <c r="C97" s="7" t="s">
        <v>18</v>
      </c>
    </row>
    <row r="98" spans="1:3" ht="15" x14ac:dyDescent="0.25">
      <c r="A98" s="4">
        <v>39814</v>
      </c>
      <c r="B98" s="5" t="s">
        <v>12</v>
      </c>
      <c r="C98" s="5" t="s">
        <v>4</v>
      </c>
    </row>
    <row r="99" spans="1:3" ht="15" x14ac:dyDescent="0.25">
      <c r="A99" s="4">
        <v>39867</v>
      </c>
      <c r="B99" s="5" t="s">
        <v>3</v>
      </c>
      <c r="C99" s="5" t="s">
        <v>5</v>
      </c>
    </row>
    <row r="100" spans="1:3" ht="15" x14ac:dyDescent="0.25">
      <c r="A100" s="4">
        <v>39868</v>
      </c>
      <c r="B100" s="5" t="s">
        <v>6</v>
      </c>
      <c r="C100" s="5" t="s">
        <v>5</v>
      </c>
    </row>
    <row r="101" spans="1:3" ht="15" x14ac:dyDescent="0.25">
      <c r="A101" s="4">
        <v>39913</v>
      </c>
      <c r="B101" s="5" t="s">
        <v>7</v>
      </c>
      <c r="C101" s="5" t="s">
        <v>8</v>
      </c>
    </row>
    <row r="102" spans="1:3" ht="15" x14ac:dyDescent="0.25">
      <c r="A102" s="4">
        <v>39924</v>
      </c>
      <c r="B102" s="5" t="s">
        <v>6</v>
      </c>
      <c r="C102" s="5" t="s">
        <v>10</v>
      </c>
    </row>
    <row r="103" spans="1:3" ht="15" x14ac:dyDescent="0.25">
      <c r="A103" s="4">
        <v>39934</v>
      </c>
      <c r="B103" s="5" t="s">
        <v>7</v>
      </c>
      <c r="C103" s="5" t="s">
        <v>11</v>
      </c>
    </row>
    <row r="104" spans="1:3" ht="15" x14ac:dyDescent="0.25">
      <c r="A104" s="4">
        <v>39975</v>
      </c>
      <c r="B104" s="5" t="s">
        <v>12</v>
      </c>
      <c r="C104" s="5" t="s">
        <v>13</v>
      </c>
    </row>
    <row r="105" spans="1:3" ht="15" x14ac:dyDescent="0.25">
      <c r="A105" s="4">
        <v>40063</v>
      </c>
      <c r="B105" s="5" t="s">
        <v>3</v>
      </c>
      <c r="C105" s="5" t="s">
        <v>14</v>
      </c>
    </row>
    <row r="106" spans="1:3" ht="15" x14ac:dyDescent="0.25">
      <c r="A106" s="4">
        <v>40098</v>
      </c>
      <c r="B106" s="5" t="s">
        <v>3</v>
      </c>
      <c r="C106" s="5" t="s">
        <v>15</v>
      </c>
    </row>
    <row r="107" spans="1:3" ht="15" x14ac:dyDescent="0.25">
      <c r="A107" s="4">
        <v>40119</v>
      </c>
      <c r="B107" s="5" t="s">
        <v>3</v>
      </c>
      <c r="C107" s="5" t="s">
        <v>16</v>
      </c>
    </row>
    <row r="108" spans="1:3" ht="15" x14ac:dyDescent="0.25">
      <c r="A108" s="4">
        <v>40132</v>
      </c>
      <c r="B108" s="5" t="s">
        <v>19</v>
      </c>
      <c r="C108" s="5" t="s">
        <v>17</v>
      </c>
    </row>
    <row r="109" spans="1:3" ht="15" x14ac:dyDescent="0.25">
      <c r="A109" s="4">
        <v>40172</v>
      </c>
      <c r="B109" s="5" t="s">
        <v>7</v>
      </c>
      <c r="C109" s="5" t="s">
        <v>18</v>
      </c>
    </row>
    <row r="110" spans="1:3" ht="15" x14ac:dyDescent="0.25">
      <c r="A110" s="6">
        <v>40179</v>
      </c>
      <c r="B110" s="7" t="s">
        <v>7</v>
      </c>
      <c r="C110" s="7" t="s">
        <v>4</v>
      </c>
    </row>
    <row r="111" spans="1:3" ht="15" x14ac:dyDescent="0.25">
      <c r="A111" s="6">
        <v>40224</v>
      </c>
      <c r="B111" s="7" t="s">
        <v>3</v>
      </c>
      <c r="C111" s="7" t="s">
        <v>5</v>
      </c>
    </row>
    <row r="112" spans="1:3" ht="15" x14ac:dyDescent="0.25">
      <c r="A112" s="6">
        <v>40225</v>
      </c>
      <c r="B112" s="7" t="s">
        <v>6</v>
      </c>
      <c r="C112" s="7" t="s">
        <v>5</v>
      </c>
    </row>
    <row r="113" spans="1:3" ht="15" x14ac:dyDescent="0.25">
      <c r="A113" s="6">
        <v>40270</v>
      </c>
      <c r="B113" s="7" t="s">
        <v>7</v>
      </c>
      <c r="C113" s="7" t="s">
        <v>8</v>
      </c>
    </row>
    <row r="114" spans="1:3" ht="15" x14ac:dyDescent="0.25">
      <c r="A114" s="6">
        <v>40289</v>
      </c>
      <c r="B114" s="7" t="s">
        <v>20</v>
      </c>
      <c r="C114" s="7" t="s">
        <v>10</v>
      </c>
    </row>
    <row r="115" spans="1:3" ht="15" x14ac:dyDescent="0.25">
      <c r="A115" s="6">
        <v>40299</v>
      </c>
      <c r="B115" s="7" t="s">
        <v>9</v>
      </c>
      <c r="C115" s="7" t="s">
        <v>11</v>
      </c>
    </row>
    <row r="116" spans="1:3" ht="15" x14ac:dyDescent="0.25">
      <c r="A116" s="6">
        <v>40332</v>
      </c>
      <c r="B116" s="7" t="s">
        <v>12</v>
      </c>
      <c r="C116" s="7" t="s">
        <v>13</v>
      </c>
    </row>
    <row r="117" spans="1:3" ht="15" x14ac:dyDescent="0.25">
      <c r="A117" s="6">
        <v>40428</v>
      </c>
      <c r="B117" s="7" t="s">
        <v>6</v>
      </c>
      <c r="C117" s="7" t="s">
        <v>14</v>
      </c>
    </row>
    <row r="118" spans="1:3" ht="15" x14ac:dyDescent="0.25">
      <c r="A118" s="6">
        <v>40463</v>
      </c>
      <c r="B118" s="7" t="s">
        <v>6</v>
      </c>
      <c r="C118" s="7" t="s">
        <v>15</v>
      </c>
    </row>
    <row r="119" spans="1:3" ht="15" x14ac:dyDescent="0.25">
      <c r="A119" s="6">
        <v>40484</v>
      </c>
      <c r="B119" s="7" t="s">
        <v>6</v>
      </c>
      <c r="C119" s="7" t="s">
        <v>16</v>
      </c>
    </row>
    <row r="120" spans="1:3" ht="15" x14ac:dyDescent="0.25">
      <c r="A120" s="6">
        <v>40497</v>
      </c>
      <c r="B120" s="7" t="s">
        <v>3</v>
      </c>
      <c r="C120" s="7" t="s">
        <v>17</v>
      </c>
    </row>
    <row r="121" spans="1:3" ht="15" x14ac:dyDescent="0.25">
      <c r="A121" s="6">
        <v>40537</v>
      </c>
      <c r="B121" s="7" t="s">
        <v>9</v>
      </c>
      <c r="C121" s="7" t="s">
        <v>18</v>
      </c>
    </row>
    <row r="122" spans="1:3" ht="15" x14ac:dyDescent="0.25">
      <c r="A122" s="4">
        <v>40544</v>
      </c>
      <c r="B122" s="5" t="s">
        <v>9</v>
      </c>
      <c r="C122" s="5" t="s">
        <v>4</v>
      </c>
    </row>
    <row r="123" spans="1:3" ht="15" x14ac:dyDescent="0.25">
      <c r="A123" s="4">
        <v>40609</v>
      </c>
      <c r="B123" s="5" t="s">
        <v>3</v>
      </c>
      <c r="C123" s="5" t="s">
        <v>5</v>
      </c>
    </row>
    <row r="124" spans="1:3" ht="15" x14ac:dyDescent="0.25">
      <c r="A124" s="4">
        <v>40610</v>
      </c>
      <c r="B124" s="5" t="s">
        <v>6</v>
      </c>
      <c r="C124" s="5" t="s">
        <v>5</v>
      </c>
    </row>
    <row r="125" spans="1:3" ht="15" x14ac:dyDescent="0.25">
      <c r="A125" s="4">
        <v>40654</v>
      </c>
      <c r="B125" s="5" t="s">
        <v>12</v>
      </c>
      <c r="C125" s="5" t="s">
        <v>10</v>
      </c>
    </row>
    <row r="126" spans="1:3" ht="15" x14ac:dyDescent="0.25">
      <c r="A126" s="4">
        <v>40655</v>
      </c>
      <c r="B126" s="5" t="s">
        <v>7</v>
      </c>
      <c r="C126" s="5" t="s">
        <v>8</v>
      </c>
    </row>
    <row r="127" spans="1:3" ht="15" x14ac:dyDescent="0.25">
      <c r="A127" s="4">
        <v>40664</v>
      </c>
      <c r="B127" s="5" t="s">
        <v>19</v>
      </c>
      <c r="C127" s="5" t="s">
        <v>11</v>
      </c>
    </row>
    <row r="128" spans="1:3" ht="15" x14ac:dyDescent="0.25">
      <c r="A128" s="4">
        <v>40717</v>
      </c>
      <c r="B128" s="5" t="s">
        <v>12</v>
      </c>
      <c r="C128" s="5" t="s">
        <v>13</v>
      </c>
    </row>
    <row r="129" spans="1:3" ht="15" x14ac:dyDescent="0.25">
      <c r="A129" s="4">
        <v>40793</v>
      </c>
      <c r="B129" s="5" t="s">
        <v>20</v>
      </c>
      <c r="C129" s="5" t="s">
        <v>14</v>
      </c>
    </row>
    <row r="130" spans="1:3" ht="15" x14ac:dyDescent="0.25">
      <c r="A130" s="4">
        <v>40828</v>
      </c>
      <c r="B130" s="5" t="s">
        <v>20</v>
      </c>
      <c r="C130" s="5" t="s">
        <v>15</v>
      </c>
    </row>
    <row r="131" spans="1:3" ht="15" x14ac:dyDescent="0.25">
      <c r="A131" s="4">
        <v>40849</v>
      </c>
      <c r="B131" s="5" t="s">
        <v>20</v>
      </c>
      <c r="C131" s="5" t="s">
        <v>16</v>
      </c>
    </row>
    <row r="132" spans="1:3" ht="15" x14ac:dyDescent="0.25">
      <c r="A132" s="4">
        <v>40862</v>
      </c>
      <c r="B132" s="5" t="s">
        <v>6</v>
      </c>
      <c r="C132" s="5" t="s">
        <v>17</v>
      </c>
    </row>
    <row r="133" spans="1:3" ht="15" x14ac:dyDescent="0.25">
      <c r="A133" s="4">
        <v>40902</v>
      </c>
      <c r="B133" s="5" t="s">
        <v>19</v>
      </c>
      <c r="C133" s="5" t="s">
        <v>18</v>
      </c>
    </row>
    <row r="134" spans="1:3" ht="15" x14ac:dyDescent="0.25">
      <c r="A134" s="6">
        <v>40909</v>
      </c>
      <c r="B134" s="7" t="s">
        <v>19</v>
      </c>
      <c r="C134" s="7" t="s">
        <v>4</v>
      </c>
    </row>
    <row r="135" spans="1:3" ht="15" x14ac:dyDescent="0.25">
      <c r="A135" s="6">
        <v>40959</v>
      </c>
      <c r="B135" s="7" t="s">
        <v>3</v>
      </c>
      <c r="C135" s="7" t="s">
        <v>5</v>
      </c>
    </row>
    <row r="136" spans="1:3" ht="15" x14ac:dyDescent="0.25">
      <c r="A136" s="6">
        <v>40960</v>
      </c>
      <c r="B136" s="7" t="s">
        <v>6</v>
      </c>
      <c r="C136" s="7" t="s">
        <v>5</v>
      </c>
    </row>
    <row r="137" spans="1:3" ht="15" x14ac:dyDescent="0.25">
      <c r="A137" s="6">
        <v>41005</v>
      </c>
      <c r="B137" s="7" t="s">
        <v>7</v>
      </c>
      <c r="C137" s="7" t="s">
        <v>8</v>
      </c>
    </row>
    <row r="138" spans="1:3" ht="15" x14ac:dyDescent="0.25">
      <c r="A138" s="6">
        <v>41020</v>
      </c>
      <c r="B138" s="7" t="s">
        <v>9</v>
      </c>
      <c r="C138" s="7" t="s">
        <v>10</v>
      </c>
    </row>
    <row r="139" spans="1:3" ht="15" x14ac:dyDescent="0.25">
      <c r="A139" s="6">
        <v>41030</v>
      </c>
      <c r="B139" s="7" t="s">
        <v>6</v>
      </c>
      <c r="C139" s="7" t="s">
        <v>11</v>
      </c>
    </row>
    <row r="140" spans="1:3" ht="15" x14ac:dyDescent="0.25">
      <c r="A140" s="6">
        <v>41067</v>
      </c>
      <c r="B140" s="7" t="s">
        <v>12</v>
      </c>
      <c r="C140" s="7" t="s">
        <v>13</v>
      </c>
    </row>
    <row r="141" spans="1:3" ht="15" x14ac:dyDescent="0.25">
      <c r="A141" s="6">
        <v>41159</v>
      </c>
      <c r="B141" s="7" t="s">
        <v>7</v>
      </c>
      <c r="C141" s="7" t="s">
        <v>14</v>
      </c>
    </row>
    <row r="142" spans="1:3" ht="15" x14ac:dyDescent="0.25">
      <c r="A142" s="6">
        <v>41194</v>
      </c>
      <c r="B142" s="7" t="s">
        <v>7</v>
      </c>
      <c r="C142" s="7" t="s">
        <v>15</v>
      </c>
    </row>
    <row r="143" spans="1:3" ht="15" x14ac:dyDescent="0.25">
      <c r="A143" s="6">
        <v>41215</v>
      </c>
      <c r="B143" s="7" t="s">
        <v>7</v>
      </c>
      <c r="C143" s="7" t="s">
        <v>16</v>
      </c>
    </row>
    <row r="144" spans="1:3" ht="15" x14ac:dyDescent="0.25">
      <c r="A144" s="6">
        <v>41228</v>
      </c>
      <c r="B144" s="7" t="s">
        <v>12</v>
      </c>
      <c r="C144" s="7" t="s">
        <v>17</v>
      </c>
    </row>
    <row r="145" spans="1:3" ht="15" x14ac:dyDescent="0.25">
      <c r="A145" s="6">
        <v>41268</v>
      </c>
      <c r="B145" s="7" t="s">
        <v>6</v>
      </c>
      <c r="C145" s="7" t="s">
        <v>18</v>
      </c>
    </row>
    <row r="146" spans="1:3" ht="15" x14ac:dyDescent="0.25">
      <c r="A146" s="4">
        <v>41275</v>
      </c>
      <c r="B146" s="5" t="s">
        <v>6</v>
      </c>
      <c r="C146" s="5" t="s">
        <v>4</v>
      </c>
    </row>
    <row r="147" spans="1:3" ht="15" x14ac:dyDescent="0.25">
      <c r="A147" s="4">
        <v>41316</v>
      </c>
      <c r="B147" s="5" t="s">
        <v>3</v>
      </c>
      <c r="C147" s="5" t="s">
        <v>5</v>
      </c>
    </row>
    <row r="148" spans="1:3" ht="15" x14ac:dyDescent="0.25">
      <c r="A148" s="4">
        <v>41317</v>
      </c>
      <c r="B148" s="5" t="s">
        <v>6</v>
      </c>
      <c r="C148" s="5" t="s">
        <v>5</v>
      </c>
    </row>
    <row r="149" spans="1:3" ht="15" x14ac:dyDescent="0.25">
      <c r="A149" s="4">
        <v>41362</v>
      </c>
      <c r="B149" s="5" t="s">
        <v>7</v>
      </c>
      <c r="C149" s="5" t="s">
        <v>8</v>
      </c>
    </row>
    <row r="150" spans="1:3" ht="15" x14ac:dyDescent="0.25">
      <c r="A150" s="4">
        <v>41385</v>
      </c>
      <c r="B150" s="5" t="s">
        <v>19</v>
      </c>
      <c r="C150" s="5" t="s">
        <v>10</v>
      </c>
    </row>
    <row r="151" spans="1:3" ht="15" x14ac:dyDescent="0.25">
      <c r="A151" s="4">
        <v>41395</v>
      </c>
      <c r="B151" s="5" t="s">
        <v>20</v>
      </c>
      <c r="C151" s="5" t="s">
        <v>11</v>
      </c>
    </row>
    <row r="152" spans="1:3" ht="15" x14ac:dyDescent="0.25">
      <c r="A152" s="4">
        <v>41424</v>
      </c>
      <c r="B152" s="5" t="s">
        <v>12</v>
      </c>
      <c r="C152" s="5" t="s">
        <v>13</v>
      </c>
    </row>
    <row r="153" spans="1:3" ht="15" x14ac:dyDescent="0.25">
      <c r="A153" s="4">
        <v>41524</v>
      </c>
      <c r="B153" s="5" t="s">
        <v>9</v>
      </c>
      <c r="C153" s="5" t="s">
        <v>14</v>
      </c>
    </row>
    <row r="154" spans="1:3" ht="15" x14ac:dyDescent="0.25">
      <c r="A154" s="4">
        <v>41559</v>
      </c>
      <c r="B154" s="5" t="s">
        <v>9</v>
      </c>
      <c r="C154" s="5" t="s">
        <v>15</v>
      </c>
    </row>
    <row r="155" spans="1:3" ht="15" x14ac:dyDescent="0.25">
      <c r="A155" s="4">
        <v>41580</v>
      </c>
      <c r="B155" s="5" t="s">
        <v>9</v>
      </c>
      <c r="C155" s="5" t="s">
        <v>16</v>
      </c>
    </row>
    <row r="156" spans="1:3" ht="15" x14ac:dyDescent="0.25">
      <c r="A156" s="4">
        <v>41593</v>
      </c>
      <c r="B156" s="5" t="s">
        <v>7</v>
      </c>
      <c r="C156" s="5" t="s">
        <v>17</v>
      </c>
    </row>
    <row r="157" spans="1:3" ht="15" x14ac:dyDescent="0.25">
      <c r="A157" s="4">
        <v>41633</v>
      </c>
      <c r="B157" s="5" t="s">
        <v>20</v>
      </c>
      <c r="C157" s="5" t="s">
        <v>18</v>
      </c>
    </row>
    <row r="158" spans="1:3" ht="15" x14ac:dyDescent="0.25">
      <c r="A158" s="6">
        <v>41640</v>
      </c>
      <c r="B158" s="7" t="s">
        <v>20</v>
      </c>
      <c r="C158" s="7" t="s">
        <v>4</v>
      </c>
    </row>
    <row r="159" spans="1:3" ht="15" x14ac:dyDescent="0.25">
      <c r="A159" s="6">
        <v>41701</v>
      </c>
      <c r="B159" s="7" t="s">
        <v>3</v>
      </c>
      <c r="C159" s="7" t="s">
        <v>5</v>
      </c>
    </row>
    <row r="160" spans="1:3" ht="15" x14ac:dyDescent="0.25">
      <c r="A160" s="6">
        <v>41702</v>
      </c>
      <c r="B160" s="7" t="s">
        <v>6</v>
      </c>
      <c r="C160" s="7" t="s">
        <v>5</v>
      </c>
    </row>
    <row r="161" spans="1:3" ht="15" x14ac:dyDescent="0.25">
      <c r="A161" s="6">
        <v>41747</v>
      </c>
      <c r="B161" s="7" t="s">
        <v>7</v>
      </c>
      <c r="C161" s="7" t="s">
        <v>8</v>
      </c>
    </row>
    <row r="162" spans="1:3" ht="15" x14ac:dyDescent="0.25">
      <c r="A162" s="6">
        <v>41750</v>
      </c>
      <c r="B162" s="7" t="s">
        <v>3</v>
      </c>
      <c r="C162" s="7" t="s">
        <v>10</v>
      </c>
    </row>
    <row r="163" spans="1:3" ht="15" x14ac:dyDescent="0.25">
      <c r="A163" s="6">
        <v>41760</v>
      </c>
      <c r="B163" s="7" t="s">
        <v>12</v>
      </c>
      <c r="C163" s="7" t="s">
        <v>11</v>
      </c>
    </row>
    <row r="164" spans="1:3" ht="15" x14ac:dyDescent="0.25">
      <c r="A164" s="6">
        <v>41809</v>
      </c>
      <c r="B164" s="7" t="s">
        <v>12</v>
      </c>
      <c r="C164" s="7" t="s">
        <v>13</v>
      </c>
    </row>
    <row r="165" spans="1:3" ht="15" x14ac:dyDescent="0.25">
      <c r="A165" s="6">
        <v>41889</v>
      </c>
      <c r="B165" s="7" t="s">
        <v>19</v>
      </c>
      <c r="C165" s="7" t="s">
        <v>14</v>
      </c>
    </row>
    <row r="166" spans="1:3" ht="15" x14ac:dyDescent="0.25">
      <c r="A166" s="6">
        <v>41924</v>
      </c>
      <c r="B166" s="7" t="s">
        <v>19</v>
      </c>
      <c r="C166" s="7" t="s">
        <v>15</v>
      </c>
    </row>
    <row r="167" spans="1:3" ht="15" x14ac:dyDescent="0.25">
      <c r="A167" s="6">
        <v>41945</v>
      </c>
      <c r="B167" s="7" t="s">
        <v>19</v>
      </c>
      <c r="C167" s="7" t="s">
        <v>16</v>
      </c>
    </row>
    <row r="168" spans="1:3" ht="15" x14ac:dyDescent="0.25">
      <c r="A168" s="6">
        <v>41958</v>
      </c>
      <c r="B168" s="7" t="s">
        <v>9</v>
      </c>
      <c r="C168" s="7" t="s">
        <v>17</v>
      </c>
    </row>
    <row r="169" spans="1:3" ht="15" x14ac:dyDescent="0.25">
      <c r="A169" s="6">
        <v>41998</v>
      </c>
      <c r="B169" s="7" t="s">
        <v>12</v>
      </c>
      <c r="C169" s="7" t="s">
        <v>18</v>
      </c>
    </row>
    <row r="170" spans="1:3" ht="15" x14ac:dyDescent="0.25">
      <c r="A170" s="4">
        <v>42005</v>
      </c>
      <c r="B170" s="5" t="s">
        <v>12</v>
      </c>
      <c r="C170" s="5" t="s">
        <v>4</v>
      </c>
    </row>
    <row r="171" spans="1:3" ht="15" x14ac:dyDescent="0.25">
      <c r="A171" s="4">
        <v>42051</v>
      </c>
      <c r="B171" s="5" t="s">
        <v>3</v>
      </c>
      <c r="C171" s="5" t="s">
        <v>5</v>
      </c>
    </row>
    <row r="172" spans="1:3" ht="15" x14ac:dyDescent="0.25">
      <c r="A172" s="4">
        <v>42052</v>
      </c>
      <c r="B172" s="5" t="s">
        <v>6</v>
      </c>
      <c r="C172" s="5" t="s">
        <v>5</v>
      </c>
    </row>
    <row r="173" spans="1:3" ht="15" x14ac:dyDescent="0.25">
      <c r="A173" s="4">
        <v>42097</v>
      </c>
      <c r="B173" s="5" t="s">
        <v>7</v>
      </c>
      <c r="C173" s="5" t="s">
        <v>8</v>
      </c>
    </row>
    <row r="174" spans="1:3" ht="15" x14ac:dyDescent="0.25">
      <c r="A174" s="4">
        <v>42115</v>
      </c>
      <c r="B174" s="5" t="s">
        <v>6</v>
      </c>
      <c r="C174" s="5" t="s">
        <v>10</v>
      </c>
    </row>
    <row r="175" spans="1:3" ht="15" x14ac:dyDescent="0.25">
      <c r="A175" s="4">
        <v>42125</v>
      </c>
      <c r="B175" s="5" t="s">
        <v>7</v>
      </c>
      <c r="C175" s="5" t="s">
        <v>11</v>
      </c>
    </row>
    <row r="176" spans="1:3" ht="15" x14ac:dyDescent="0.25">
      <c r="A176" s="4">
        <v>42159</v>
      </c>
      <c r="B176" s="5" t="s">
        <v>12</v>
      </c>
      <c r="C176" s="5" t="s">
        <v>13</v>
      </c>
    </row>
    <row r="177" spans="1:3" ht="15" x14ac:dyDescent="0.25">
      <c r="A177" s="4">
        <v>42254</v>
      </c>
      <c r="B177" s="5" t="s">
        <v>3</v>
      </c>
      <c r="C177" s="5" t="s">
        <v>14</v>
      </c>
    </row>
    <row r="178" spans="1:3" ht="15" x14ac:dyDescent="0.25">
      <c r="A178" s="4">
        <v>42289</v>
      </c>
      <c r="B178" s="5" t="s">
        <v>3</v>
      </c>
      <c r="C178" s="5" t="s">
        <v>15</v>
      </c>
    </row>
    <row r="179" spans="1:3" ht="15" x14ac:dyDescent="0.25">
      <c r="A179" s="4">
        <v>42310</v>
      </c>
      <c r="B179" s="5" t="s">
        <v>3</v>
      </c>
      <c r="C179" s="5" t="s">
        <v>16</v>
      </c>
    </row>
    <row r="180" spans="1:3" ht="15" x14ac:dyDescent="0.25">
      <c r="A180" s="4">
        <v>42323</v>
      </c>
      <c r="B180" s="5" t="s">
        <v>19</v>
      </c>
      <c r="C180" s="5" t="s">
        <v>17</v>
      </c>
    </row>
    <row r="181" spans="1:3" ht="15" x14ac:dyDescent="0.25">
      <c r="A181" s="4">
        <v>42363</v>
      </c>
      <c r="B181" s="5" t="s">
        <v>7</v>
      </c>
      <c r="C181" s="5" t="s">
        <v>18</v>
      </c>
    </row>
    <row r="182" spans="1:3" ht="15" x14ac:dyDescent="0.25">
      <c r="A182" s="6">
        <v>42370</v>
      </c>
      <c r="B182" s="7" t="s">
        <v>7</v>
      </c>
      <c r="C182" s="7" t="s">
        <v>4</v>
      </c>
    </row>
    <row r="183" spans="1:3" ht="15" x14ac:dyDescent="0.25">
      <c r="A183" s="6">
        <v>42408</v>
      </c>
      <c r="B183" s="7" t="s">
        <v>3</v>
      </c>
      <c r="C183" s="7" t="s">
        <v>5</v>
      </c>
    </row>
    <row r="184" spans="1:3" ht="15" x14ac:dyDescent="0.25">
      <c r="A184" s="6">
        <v>42409</v>
      </c>
      <c r="B184" s="7" t="s">
        <v>6</v>
      </c>
      <c r="C184" s="7" t="s">
        <v>5</v>
      </c>
    </row>
    <row r="185" spans="1:3" ht="15" x14ac:dyDescent="0.25">
      <c r="A185" s="6">
        <v>42454</v>
      </c>
      <c r="B185" s="7" t="s">
        <v>7</v>
      </c>
      <c r="C185" s="7" t="s">
        <v>8</v>
      </c>
    </row>
    <row r="186" spans="1:3" ht="15" x14ac:dyDescent="0.25">
      <c r="A186" s="6">
        <v>42481</v>
      </c>
      <c r="B186" s="7" t="s">
        <v>12</v>
      </c>
      <c r="C186" s="7" t="s">
        <v>10</v>
      </c>
    </row>
    <row r="187" spans="1:3" ht="15" x14ac:dyDescent="0.25">
      <c r="A187" s="6">
        <v>42491</v>
      </c>
      <c r="B187" s="7" t="s">
        <v>19</v>
      </c>
      <c r="C187" s="7" t="s">
        <v>11</v>
      </c>
    </row>
    <row r="188" spans="1:3" ht="15" x14ac:dyDescent="0.25">
      <c r="A188" s="6">
        <v>42516</v>
      </c>
      <c r="B188" s="7" t="s">
        <v>12</v>
      </c>
      <c r="C188" s="7" t="s">
        <v>13</v>
      </c>
    </row>
    <row r="189" spans="1:3" ht="15" x14ac:dyDescent="0.25">
      <c r="A189" s="6">
        <v>42620</v>
      </c>
      <c r="B189" s="7" t="s">
        <v>20</v>
      </c>
      <c r="C189" s="7" t="s">
        <v>14</v>
      </c>
    </row>
    <row r="190" spans="1:3" ht="15" x14ac:dyDescent="0.25">
      <c r="A190" s="6">
        <v>42655</v>
      </c>
      <c r="B190" s="7" t="s">
        <v>20</v>
      </c>
      <c r="C190" s="7" t="s">
        <v>15</v>
      </c>
    </row>
    <row r="191" spans="1:3" ht="15" x14ac:dyDescent="0.25">
      <c r="A191" s="6">
        <v>42676</v>
      </c>
      <c r="B191" s="7" t="s">
        <v>20</v>
      </c>
      <c r="C191" s="7" t="s">
        <v>16</v>
      </c>
    </row>
    <row r="192" spans="1:3" ht="15" x14ac:dyDescent="0.25">
      <c r="A192" s="6">
        <v>42689</v>
      </c>
      <c r="B192" s="7" t="s">
        <v>6</v>
      </c>
      <c r="C192" s="7" t="s">
        <v>17</v>
      </c>
    </row>
    <row r="193" spans="1:3" ht="15" x14ac:dyDescent="0.25">
      <c r="A193" s="6">
        <v>42729</v>
      </c>
      <c r="B193" s="7" t="s">
        <v>19</v>
      </c>
      <c r="C193" s="7" t="s">
        <v>18</v>
      </c>
    </row>
    <row r="194" spans="1:3" ht="15" x14ac:dyDescent="0.25">
      <c r="A194" s="4">
        <v>42736</v>
      </c>
      <c r="B194" s="5" t="s">
        <v>19</v>
      </c>
      <c r="C194" s="5" t="s">
        <v>4</v>
      </c>
    </row>
    <row r="195" spans="1:3" ht="15" x14ac:dyDescent="0.25">
      <c r="A195" s="4">
        <v>42793</v>
      </c>
      <c r="B195" s="5" t="s">
        <v>3</v>
      </c>
      <c r="C195" s="5" t="s">
        <v>5</v>
      </c>
    </row>
    <row r="196" spans="1:3" ht="15" x14ac:dyDescent="0.25">
      <c r="A196" s="4">
        <v>42794</v>
      </c>
      <c r="B196" s="5" t="s">
        <v>6</v>
      </c>
      <c r="C196" s="5" t="s">
        <v>5</v>
      </c>
    </row>
    <row r="197" spans="1:3" ht="15" x14ac:dyDescent="0.25">
      <c r="A197" s="4">
        <v>42839</v>
      </c>
      <c r="B197" s="5" t="s">
        <v>7</v>
      </c>
      <c r="C197" s="5" t="s">
        <v>8</v>
      </c>
    </row>
    <row r="198" spans="1:3" ht="15" x14ac:dyDescent="0.25">
      <c r="A198" s="4">
        <v>42846</v>
      </c>
      <c r="B198" s="5" t="s">
        <v>7</v>
      </c>
      <c r="C198" s="5" t="s">
        <v>10</v>
      </c>
    </row>
    <row r="199" spans="1:3" ht="15" x14ac:dyDescent="0.25">
      <c r="A199" s="4">
        <v>42856</v>
      </c>
      <c r="B199" s="5" t="s">
        <v>3</v>
      </c>
      <c r="C199" s="5" t="s">
        <v>11</v>
      </c>
    </row>
    <row r="200" spans="1:3" ht="15" x14ac:dyDescent="0.25">
      <c r="A200" s="4">
        <v>42901</v>
      </c>
      <c r="B200" s="5" t="s">
        <v>12</v>
      </c>
      <c r="C200" s="5" t="s">
        <v>13</v>
      </c>
    </row>
    <row r="201" spans="1:3" ht="15" x14ac:dyDescent="0.25">
      <c r="A201" s="4">
        <v>42985</v>
      </c>
      <c r="B201" s="5" t="s">
        <v>12</v>
      </c>
      <c r="C201" s="5" t="s">
        <v>14</v>
      </c>
    </row>
    <row r="202" spans="1:3" ht="15" x14ac:dyDescent="0.25">
      <c r="A202" s="4">
        <v>43020</v>
      </c>
      <c r="B202" s="5" t="s">
        <v>12</v>
      </c>
      <c r="C202" s="5" t="s">
        <v>15</v>
      </c>
    </row>
    <row r="203" spans="1:3" ht="15" x14ac:dyDescent="0.25">
      <c r="A203" s="4">
        <v>43041</v>
      </c>
      <c r="B203" s="5" t="s">
        <v>12</v>
      </c>
      <c r="C203" s="5" t="s">
        <v>16</v>
      </c>
    </row>
    <row r="204" spans="1:3" ht="15" x14ac:dyDescent="0.25">
      <c r="A204" s="4">
        <v>43054</v>
      </c>
      <c r="B204" s="5" t="s">
        <v>20</v>
      </c>
      <c r="C204" s="5" t="s">
        <v>17</v>
      </c>
    </row>
    <row r="205" spans="1:3" ht="15" x14ac:dyDescent="0.25">
      <c r="A205" s="4">
        <v>43094</v>
      </c>
      <c r="B205" s="5" t="s">
        <v>3</v>
      </c>
      <c r="C205" s="5" t="s">
        <v>18</v>
      </c>
    </row>
    <row r="206" spans="1:3" ht="15" x14ac:dyDescent="0.25">
      <c r="A206" s="6">
        <v>43101</v>
      </c>
      <c r="B206" s="7" t="s">
        <v>3</v>
      </c>
      <c r="C206" s="7" t="s">
        <v>4</v>
      </c>
    </row>
    <row r="207" spans="1:3" ht="15" x14ac:dyDescent="0.25">
      <c r="A207" s="6">
        <v>43143</v>
      </c>
      <c r="B207" s="7" t="s">
        <v>3</v>
      </c>
      <c r="C207" s="7" t="s">
        <v>5</v>
      </c>
    </row>
    <row r="208" spans="1:3" ht="15" x14ac:dyDescent="0.25">
      <c r="A208" s="6">
        <v>43144</v>
      </c>
      <c r="B208" s="7" t="s">
        <v>6</v>
      </c>
      <c r="C208" s="7" t="s">
        <v>5</v>
      </c>
    </row>
    <row r="209" spans="1:3" ht="15" x14ac:dyDescent="0.25">
      <c r="A209" s="6">
        <v>43189</v>
      </c>
      <c r="B209" s="7" t="s">
        <v>7</v>
      </c>
      <c r="C209" s="7" t="s">
        <v>8</v>
      </c>
    </row>
    <row r="210" spans="1:3" ht="15" x14ac:dyDescent="0.25">
      <c r="A210" s="6">
        <v>43211</v>
      </c>
      <c r="B210" s="7" t="s">
        <v>9</v>
      </c>
      <c r="C210" s="7" t="s">
        <v>10</v>
      </c>
    </row>
    <row r="211" spans="1:3" ht="15" x14ac:dyDescent="0.25">
      <c r="A211" s="6">
        <v>43221</v>
      </c>
      <c r="B211" s="7" t="s">
        <v>6</v>
      </c>
      <c r="C211" s="7" t="s">
        <v>11</v>
      </c>
    </row>
    <row r="212" spans="1:3" ht="15" x14ac:dyDescent="0.25">
      <c r="A212" s="6">
        <v>43251</v>
      </c>
      <c r="B212" s="7" t="s">
        <v>12</v>
      </c>
      <c r="C212" s="7" t="s">
        <v>13</v>
      </c>
    </row>
    <row r="213" spans="1:3" ht="15" x14ac:dyDescent="0.25">
      <c r="A213" s="6">
        <v>43350</v>
      </c>
      <c r="B213" s="7" t="s">
        <v>7</v>
      </c>
      <c r="C213" s="7" t="s">
        <v>14</v>
      </c>
    </row>
    <row r="214" spans="1:3" ht="15" x14ac:dyDescent="0.25">
      <c r="A214" s="6">
        <v>43385</v>
      </c>
      <c r="B214" s="7" t="s">
        <v>7</v>
      </c>
      <c r="C214" s="7" t="s">
        <v>15</v>
      </c>
    </row>
    <row r="215" spans="1:3" ht="15" x14ac:dyDescent="0.25">
      <c r="A215" s="6">
        <v>43406</v>
      </c>
      <c r="B215" s="7" t="s">
        <v>7</v>
      </c>
      <c r="C215" s="7" t="s">
        <v>16</v>
      </c>
    </row>
    <row r="216" spans="1:3" ht="15" x14ac:dyDescent="0.25">
      <c r="A216" s="6">
        <v>43419</v>
      </c>
      <c r="B216" s="7" t="s">
        <v>12</v>
      </c>
      <c r="C216" s="7" t="s">
        <v>17</v>
      </c>
    </row>
    <row r="217" spans="1:3" ht="15" x14ac:dyDescent="0.25">
      <c r="A217" s="6">
        <v>43459</v>
      </c>
      <c r="B217" s="7" t="s">
        <v>6</v>
      </c>
      <c r="C217" s="7" t="s">
        <v>18</v>
      </c>
    </row>
    <row r="218" spans="1:3" ht="15" x14ac:dyDescent="0.25">
      <c r="A218" s="4">
        <v>43466</v>
      </c>
      <c r="B218" s="5" t="s">
        <v>6</v>
      </c>
      <c r="C218" s="5" t="s">
        <v>4</v>
      </c>
    </row>
    <row r="219" spans="1:3" ht="15" x14ac:dyDescent="0.25">
      <c r="A219" s="4">
        <v>43528</v>
      </c>
      <c r="B219" s="5" t="s">
        <v>3</v>
      </c>
      <c r="C219" s="5" t="s">
        <v>5</v>
      </c>
    </row>
    <row r="220" spans="1:3" ht="15" x14ac:dyDescent="0.25">
      <c r="A220" s="4">
        <v>43529</v>
      </c>
      <c r="B220" s="5" t="s">
        <v>6</v>
      </c>
      <c r="C220" s="5" t="s">
        <v>5</v>
      </c>
    </row>
    <row r="221" spans="1:3" ht="15" x14ac:dyDescent="0.25">
      <c r="A221" s="4">
        <v>43574</v>
      </c>
      <c r="B221" s="5" t="s">
        <v>7</v>
      </c>
      <c r="C221" s="5" t="s">
        <v>8</v>
      </c>
    </row>
    <row r="222" spans="1:3" ht="15" x14ac:dyDescent="0.25">
      <c r="A222" s="4">
        <v>43576</v>
      </c>
      <c r="B222" s="5" t="s">
        <v>19</v>
      </c>
      <c r="C222" s="5" t="s">
        <v>10</v>
      </c>
    </row>
    <row r="223" spans="1:3" ht="15" x14ac:dyDescent="0.25">
      <c r="A223" s="4">
        <v>43586</v>
      </c>
      <c r="B223" s="5" t="s">
        <v>20</v>
      </c>
      <c r="C223" s="5" t="s">
        <v>11</v>
      </c>
    </row>
    <row r="224" spans="1:3" ht="15" x14ac:dyDescent="0.25">
      <c r="A224" s="4">
        <v>43636</v>
      </c>
      <c r="B224" s="5" t="s">
        <v>12</v>
      </c>
      <c r="C224" s="5" t="s">
        <v>13</v>
      </c>
    </row>
    <row r="225" spans="1:3" ht="15" x14ac:dyDescent="0.25">
      <c r="A225" s="4">
        <v>43715</v>
      </c>
      <c r="B225" s="5" t="s">
        <v>9</v>
      </c>
      <c r="C225" s="5" t="s">
        <v>14</v>
      </c>
    </row>
    <row r="226" spans="1:3" ht="15" x14ac:dyDescent="0.25">
      <c r="A226" s="4">
        <v>43750</v>
      </c>
      <c r="B226" s="5" t="s">
        <v>9</v>
      </c>
      <c r="C226" s="5" t="s">
        <v>15</v>
      </c>
    </row>
    <row r="227" spans="1:3" ht="15" x14ac:dyDescent="0.25">
      <c r="A227" s="4">
        <v>43771</v>
      </c>
      <c r="B227" s="5" t="s">
        <v>9</v>
      </c>
      <c r="C227" s="5" t="s">
        <v>16</v>
      </c>
    </row>
    <row r="228" spans="1:3" ht="15" x14ac:dyDescent="0.25">
      <c r="A228" s="4">
        <v>43784</v>
      </c>
      <c r="B228" s="5" t="s">
        <v>7</v>
      </c>
      <c r="C228" s="5" t="s">
        <v>17</v>
      </c>
    </row>
    <row r="229" spans="1:3" ht="15" x14ac:dyDescent="0.25">
      <c r="A229" s="4">
        <v>43824</v>
      </c>
      <c r="B229" s="5" t="s">
        <v>20</v>
      </c>
      <c r="C229" s="5" t="s">
        <v>18</v>
      </c>
    </row>
    <row r="230" spans="1:3" ht="15" x14ac:dyDescent="0.25">
      <c r="A230" s="6">
        <v>43831</v>
      </c>
      <c r="B230" s="7" t="s">
        <v>20</v>
      </c>
      <c r="C230" s="7" t="s">
        <v>4</v>
      </c>
    </row>
    <row r="231" spans="1:3" ht="15" x14ac:dyDescent="0.25">
      <c r="A231" s="6">
        <v>43885</v>
      </c>
      <c r="B231" s="7" t="s">
        <v>3</v>
      </c>
      <c r="C231" s="7" t="s">
        <v>5</v>
      </c>
    </row>
    <row r="232" spans="1:3" ht="15" x14ac:dyDescent="0.25">
      <c r="A232" s="6">
        <v>43886</v>
      </c>
      <c r="B232" s="7" t="s">
        <v>6</v>
      </c>
      <c r="C232" s="7" t="s">
        <v>5</v>
      </c>
    </row>
    <row r="233" spans="1:3" ht="15" x14ac:dyDescent="0.25">
      <c r="A233" s="6">
        <v>43931</v>
      </c>
      <c r="B233" s="7" t="s">
        <v>7</v>
      </c>
      <c r="C233" s="7" t="s">
        <v>8</v>
      </c>
    </row>
    <row r="234" spans="1:3" ht="15" x14ac:dyDescent="0.25">
      <c r="A234" s="6">
        <v>43942</v>
      </c>
      <c r="B234" s="7" t="s">
        <v>6</v>
      </c>
      <c r="C234" s="7" t="s">
        <v>10</v>
      </c>
    </row>
    <row r="235" spans="1:3" ht="15" x14ac:dyDescent="0.25">
      <c r="A235" s="6">
        <v>43952</v>
      </c>
      <c r="B235" s="7" t="s">
        <v>7</v>
      </c>
      <c r="C235" s="7" t="s">
        <v>11</v>
      </c>
    </row>
    <row r="236" spans="1:3" ht="15" x14ac:dyDescent="0.25">
      <c r="A236" s="6">
        <v>43993</v>
      </c>
      <c r="B236" s="7" t="s">
        <v>12</v>
      </c>
      <c r="C236" s="7" t="s">
        <v>13</v>
      </c>
    </row>
    <row r="237" spans="1:3" ht="15" x14ac:dyDescent="0.25">
      <c r="A237" s="6">
        <v>44081</v>
      </c>
      <c r="B237" s="7" t="s">
        <v>3</v>
      </c>
      <c r="C237" s="7" t="s">
        <v>14</v>
      </c>
    </row>
    <row r="238" spans="1:3" ht="15" x14ac:dyDescent="0.25">
      <c r="A238" s="6">
        <v>44116</v>
      </c>
      <c r="B238" s="7" t="s">
        <v>3</v>
      </c>
      <c r="C238" s="7" t="s">
        <v>15</v>
      </c>
    </row>
    <row r="239" spans="1:3" ht="15" x14ac:dyDescent="0.25">
      <c r="A239" s="6">
        <v>44137</v>
      </c>
      <c r="B239" s="7" t="s">
        <v>3</v>
      </c>
      <c r="C239" s="7" t="s">
        <v>16</v>
      </c>
    </row>
    <row r="240" spans="1:3" ht="15" x14ac:dyDescent="0.25">
      <c r="A240" s="6">
        <v>44150</v>
      </c>
      <c r="B240" s="7" t="s">
        <v>19</v>
      </c>
      <c r="C240" s="7" t="s">
        <v>17</v>
      </c>
    </row>
    <row r="241" spans="1:3" ht="15" x14ac:dyDescent="0.25">
      <c r="A241" s="6">
        <v>44190</v>
      </c>
      <c r="B241" s="7" t="s">
        <v>7</v>
      </c>
      <c r="C241" s="7" t="s">
        <v>18</v>
      </c>
    </row>
    <row r="242" spans="1:3" ht="15" x14ac:dyDescent="0.25">
      <c r="A242" s="4">
        <v>44197</v>
      </c>
      <c r="B242" s="5" t="s">
        <v>7</v>
      </c>
      <c r="C242" s="5" t="s">
        <v>4</v>
      </c>
    </row>
    <row r="243" spans="1:3" ht="15" x14ac:dyDescent="0.25">
      <c r="A243" s="4">
        <v>44242</v>
      </c>
      <c r="B243" s="5" t="s">
        <v>3</v>
      </c>
      <c r="C243" s="5" t="s">
        <v>5</v>
      </c>
    </row>
    <row r="244" spans="1:3" ht="15" x14ac:dyDescent="0.25">
      <c r="A244" s="4">
        <v>44243</v>
      </c>
      <c r="B244" s="5" t="s">
        <v>6</v>
      </c>
      <c r="C244" s="5" t="s">
        <v>5</v>
      </c>
    </row>
    <row r="245" spans="1:3" ht="15" x14ac:dyDescent="0.25">
      <c r="A245" s="4">
        <v>44288</v>
      </c>
      <c r="B245" s="5" t="s">
        <v>7</v>
      </c>
      <c r="C245" s="5" t="s">
        <v>8</v>
      </c>
    </row>
    <row r="246" spans="1:3" ht="15" x14ac:dyDescent="0.25">
      <c r="A246" s="4">
        <v>44307</v>
      </c>
      <c r="B246" s="5" t="s">
        <v>20</v>
      </c>
      <c r="C246" s="5" t="s">
        <v>10</v>
      </c>
    </row>
    <row r="247" spans="1:3" ht="15" x14ac:dyDescent="0.25">
      <c r="A247" s="4">
        <v>44317</v>
      </c>
      <c r="B247" s="5" t="s">
        <v>9</v>
      </c>
      <c r="C247" s="5" t="s">
        <v>11</v>
      </c>
    </row>
    <row r="248" spans="1:3" ht="15" x14ac:dyDescent="0.25">
      <c r="A248" s="4">
        <v>44350</v>
      </c>
      <c r="B248" s="5" t="s">
        <v>12</v>
      </c>
      <c r="C248" s="5" t="s">
        <v>13</v>
      </c>
    </row>
    <row r="249" spans="1:3" ht="15" x14ac:dyDescent="0.25">
      <c r="A249" s="4">
        <v>44446</v>
      </c>
      <c r="B249" s="5" t="s">
        <v>6</v>
      </c>
      <c r="C249" s="5" t="s">
        <v>14</v>
      </c>
    </row>
    <row r="250" spans="1:3" ht="15" x14ac:dyDescent="0.25">
      <c r="A250" s="4">
        <v>44481</v>
      </c>
      <c r="B250" s="5" t="s">
        <v>6</v>
      </c>
      <c r="C250" s="5" t="s">
        <v>15</v>
      </c>
    </row>
    <row r="251" spans="1:3" ht="15" x14ac:dyDescent="0.25">
      <c r="A251" s="4">
        <v>44502</v>
      </c>
      <c r="B251" s="5" t="s">
        <v>6</v>
      </c>
      <c r="C251" s="5" t="s">
        <v>16</v>
      </c>
    </row>
    <row r="252" spans="1:3" ht="15" x14ac:dyDescent="0.25">
      <c r="A252" s="4">
        <v>44515</v>
      </c>
      <c r="B252" s="5" t="s">
        <v>3</v>
      </c>
      <c r="C252" s="5" t="s">
        <v>17</v>
      </c>
    </row>
    <row r="253" spans="1:3" ht="15" x14ac:dyDescent="0.25">
      <c r="A253" s="4">
        <v>44555</v>
      </c>
      <c r="B253" s="5" t="s">
        <v>9</v>
      </c>
      <c r="C253" s="5" t="s">
        <v>18</v>
      </c>
    </row>
    <row r="254" spans="1:3" ht="15" x14ac:dyDescent="0.25">
      <c r="A254" s="6">
        <v>44562</v>
      </c>
      <c r="B254" s="7" t="s">
        <v>9</v>
      </c>
      <c r="C254" s="7" t="s">
        <v>4</v>
      </c>
    </row>
    <row r="255" spans="1:3" ht="15" x14ac:dyDescent="0.25">
      <c r="A255" s="6">
        <v>44620</v>
      </c>
      <c r="B255" s="7" t="s">
        <v>3</v>
      </c>
      <c r="C255" s="7" t="s">
        <v>5</v>
      </c>
    </row>
    <row r="256" spans="1:3" ht="15" x14ac:dyDescent="0.25">
      <c r="A256" s="6">
        <v>44621</v>
      </c>
      <c r="B256" s="7" t="s">
        <v>6</v>
      </c>
      <c r="C256" s="7" t="s">
        <v>5</v>
      </c>
    </row>
    <row r="257" spans="1:3" ht="15" x14ac:dyDescent="0.25">
      <c r="A257" s="6">
        <v>44666</v>
      </c>
      <c r="B257" s="7" t="s">
        <v>7</v>
      </c>
      <c r="C257" s="7" t="s">
        <v>8</v>
      </c>
    </row>
    <row r="258" spans="1:3" ht="15" x14ac:dyDescent="0.25">
      <c r="A258" s="6">
        <v>44672</v>
      </c>
      <c r="B258" s="7" t="s">
        <v>12</v>
      </c>
      <c r="C258" s="7" t="s">
        <v>10</v>
      </c>
    </row>
    <row r="259" spans="1:3" ht="15" x14ac:dyDescent="0.25">
      <c r="A259" s="6">
        <v>44682</v>
      </c>
      <c r="B259" s="7" t="s">
        <v>19</v>
      </c>
      <c r="C259" s="7" t="s">
        <v>11</v>
      </c>
    </row>
    <row r="260" spans="1:3" ht="15" x14ac:dyDescent="0.25">
      <c r="A260" s="6">
        <v>44728</v>
      </c>
      <c r="B260" s="7" t="s">
        <v>12</v>
      </c>
      <c r="C260" s="7" t="s">
        <v>13</v>
      </c>
    </row>
    <row r="261" spans="1:3" ht="15" x14ac:dyDescent="0.25">
      <c r="A261" s="6">
        <v>44811</v>
      </c>
      <c r="B261" s="7" t="s">
        <v>20</v>
      </c>
      <c r="C261" s="7" t="s">
        <v>14</v>
      </c>
    </row>
    <row r="262" spans="1:3" ht="15" x14ac:dyDescent="0.25">
      <c r="A262" s="6">
        <v>44846</v>
      </c>
      <c r="B262" s="7" t="s">
        <v>20</v>
      </c>
      <c r="C262" s="7" t="s">
        <v>15</v>
      </c>
    </row>
    <row r="263" spans="1:3" ht="15" x14ac:dyDescent="0.25">
      <c r="A263" s="6">
        <v>44867</v>
      </c>
      <c r="B263" s="7" t="s">
        <v>20</v>
      </c>
      <c r="C263" s="7" t="s">
        <v>16</v>
      </c>
    </row>
    <row r="264" spans="1:3" ht="15" x14ac:dyDescent="0.25">
      <c r="A264" s="6">
        <v>44880</v>
      </c>
      <c r="B264" s="7" t="s">
        <v>6</v>
      </c>
      <c r="C264" s="7" t="s">
        <v>17</v>
      </c>
    </row>
    <row r="265" spans="1:3" ht="15" x14ac:dyDescent="0.25">
      <c r="A265" s="6">
        <v>44920</v>
      </c>
      <c r="B265" s="7" t="s">
        <v>19</v>
      </c>
      <c r="C265" s="7" t="s">
        <v>18</v>
      </c>
    </row>
    <row r="266" spans="1:3" ht="15" x14ac:dyDescent="0.25">
      <c r="A266" s="4">
        <v>44927</v>
      </c>
      <c r="B266" s="5" t="s">
        <v>19</v>
      </c>
      <c r="C266" s="5" t="s">
        <v>4</v>
      </c>
    </row>
    <row r="267" spans="1:3" ht="15" x14ac:dyDescent="0.25">
      <c r="A267" s="4">
        <v>44977</v>
      </c>
      <c r="B267" s="5" t="s">
        <v>3</v>
      </c>
      <c r="C267" s="5" t="s">
        <v>5</v>
      </c>
    </row>
    <row r="268" spans="1:3" ht="15" x14ac:dyDescent="0.25">
      <c r="A268" s="4">
        <v>44978</v>
      </c>
      <c r="B268" s="5" t="s">
        <v>6</v>
      </c>
      <c r="C268" s="5" t="s">
        <v>5</v>
      </c>
    </row>
    <row r="269" spans="1:3" ht="15" x14ac:dyDescent="0.25">
      <c r="A269" s="4">
        <v>45023</v>
      </c>
      <c r="B269" s="5" t="s">
        <v>7</v>
      </c>
      <c r="C269" s="5" t="s">
        <v>8</v>
      </c>
    </row>
    <row r="270" spans="1:3" ht="15" x14ac:dyDescent="0.25">
      <c r="A270" s="4">
        <v>45037</v>
      </c>
      <c r="B270" s="5" t="s">
        <v>7</v>
      </c>
      <c r="C270" s="5" t="s">
        <v>10</v>
      </c>
    </row>
    <row r="271" spans="1:3" ht="15" x14ac:dyDescent="0.25">
      <c r="A271" s="4">
        <v>45047</v>
      </c>
      <c r="B271" s="5" t="s">
        <v>3</v>
      </c>
      <c r="C271" s="5" t="s">
        <v>11</v>
      </c>
    </row>
    <row r="272" spans="1:3" ht="15" x14ac:dyDescent="0.25">
      <c r="A272" s="4">
        <v>45085</v>
      </c>
      <c r="B272" s="5" t="s">
        <v>12</v>
      </c>
      <c r="C272" s="5" t="s">
        <v>13</v>
      </c>
    </row>
    <row r="273" spans="1:3" ht="15" x14ac:dyDescent="0.25">
      <c r="A273" s="4">
        <v>45176</v>
      </c>
      <c r="B273" s="5" t="s">
        <v>12</v>
      </c>
      <c r="C273" s="5" t="s">
        <v>14</v>
      </c>
    </row>
    <row r="274" spans="1:3" ht="15" x14ac:dyDescent="0.25">
      <c r="A274" s="4">
        <v>45211</v>
      </c>
      <c r="B274" s="5" t="s">
        <v>12</v>
      </c>
      <c r="C274" s="5" t="s">
        <v>15</v>
      </c>
    </row>
    <row r="275" spans="1:3" ht="15" x14ac:dyDescent="0.25">
      <c r="A275" s="4">
        <v>45232</v>
      </c>
      <c r="B275" s="5" t="s">
        <v>12</v>
      </c>
      <c r="C275" s="5" t="s">
        <v>16</v>
      </c>
    </row>
    <row r="276" spans="1:3" ht="15" x14ac:dyDescent="0.25">
      <c r="A276" s="4">
        <v>45245</v>
      </c>
      <c r="B276" s="5" t="s">
        <v>20</v>
      </c>
      <c r="C276" s="5" t="s">
        <v>17</v>
      </c>
    </row>
    <row r="277" spans="1:3" ht="15" x14ac:dyDescent="0.25">
      <c r="A277" s="4">
        <v>45285</v>
      </c>
      <c r="B277" s="5" t="s">
        <v>3</v>
      </c>
      <c r="C277" s="5" t="s">
        <v>18</v>
      </c>
    </row>
    <row r="278" spans="1:3" ht="15" x14ac:dyDescent="0.25">
      <c r="A278" s="6">
        <v>45292</v>
      </c>
      <c r="B278" s="7" t="s">
        <v>3</v>
      </c>
      <c r="C278" s="7" t="s">
        <v>4</v>
      </c>
    </row>
    <row r="279" spans="1:3" ht="15" x14ac:dyDescent="0.25">
      <c r="A279" s="6">
        <v>45334</v>
      </c>
      <c r="B279" s="7" t="s">
        <v>3</v>
      </c>
      <c r="C279" s="7" t="s">
        <v>5</v>
      </c>
    </row>
    <row r="280" spans="1:3" ht="15" x14ac:dyDescent="0.25">
      <c r="A280" s="6">
        <v>45335</v>
      </c>
      <c r="B280" s="7" t="s">
        <v>6</v>
      </c>
      <c r="C280" s="7" t="s">
        <v>5</v>
      </c>
    </row>
    <row r="281" spans="1:3" ht="15" x14ac:dyDescent="0.25">
      <c r="A281" s="6">
        <v>45380</v>
      </c>
      <c r="B281" s="7" t="s">
        <v>7</v>
      </c>
      <c r="C281" s="7" t="s">
        <v>8</v>
      </c>
    </row>
    <row r="282" spans="1:3" ht="15" x14ac:dyDescent="0.25">
      <c r="A282" s="6">
        <v>45403</v>
      </c>
      <c r="B282" s="7" t="s">
        <v>19</v>
      </c>
      <c r="C282" s="7" t="s">
        <v>10</v>
      </c>
    </row>
    <row r="283" spans="1:3" ht="15" x14ac:dyDescent="0.25">
      <c r="A283" s="6">
        <v>45413</v>
      </c>
      <c r="B283" s="7" t="s">
        <v>20</v>
      </c>
      <c r="C283" s="7" t="s">
        <v>11</v>
      </c>
    </row>
    <row r="284" spans="1:3" ht="15" x14ac:dyDescent="0.25">
      <c r="A284" s="6">
        <v>45442</v>
      </c>
      <c r="B284" s="7" t="s">
        <v>12</v>
      </c>
      <c r="C284" s="7" t="s">
        <v>13</v>
      </c>
    </row>
    <row r="285" spans="1:3" ht="15" x14ac:dyDescent="0.25">
      <c r="A285" s="6">
        <v>45542</v>
      </c>
      <c r="B285" s="7" t="s">
        <v>9</v>
      </c>
      <c r="C285" s="7" t="s">
        <v>14</v>
      </c>
    </row>
    <row r="286" spans="1:3" ht="15" x14ac:dyDescent="0.25">
      <c r="A286" s="6">
        <v>45577</v>
      </c>
      <c r="B286" s="7" t="s">
        <v>9</v>
      </c>
      <c r="C286" s="7" t="s">
        <v>15</v>
      </c>
    </row>
    <row r="287" spans="1:3" ht="15" x14ac:dyDescent="0.25">
      <c r="A287" s="6">
        <v>45598</v>
      </c>
      <c r="B287" s="7" t="s">
        <v>9</v>
      </c>
      <c r="C287" s="7" t="s">
        <v>16</v>
      </c>
    </row>
    <row r="288" spans="1:3" ht="15" x14ac:dyDescent="0.25">
      <c r="A288" s="6">
        <v>45611</v>
      </c>
      <c r="B288" s="7" t="s">
        <v>7</v>
      </c>
      <c r="C288" s="7" t="s">
        <v>17</v>
      </c>
    </row>
    <row r="289" spans="1:11" ht="15" x14ac:dyDescent="0.25">
      <c r="A289" s="6">
        <v>45616</v>
      </c>
      <c r="B289" s="7" t="s">
        <v>20</v>
      </c>
      <c r="C289" s="7" t="s">
        <v>21</v>
      </c>
      <c r="G289" s="8"/>
      <c r="K289" s="8"/>
    </row>
    <row r="290" spans="1:11" ht="15" x14ac:dyDescent="0.25">
      <c r="A290" s="6">
        <v>45651</v>
      </c>
      <c r="B290" s="7" t="s">
        <v>20</v>
      </c>
      <c r="C290" s="7" t="s">
        <v>18</v>
      </c>
    </row>
    <row r="291" spans="1:11" ht="15" x14ac:dyDescent="0.25">
      <c r="A291" s="4">
        <v>45658</v>
      </c>
      <c r="B291" s="5" t="s">
        <v>20</v>
      </c>
      <c r="C291" s="5" t="s">
        <v>4</v>
      </c>
    </row>
    <row r="292" spans="1:11" ht="15" x14ac:dyDescent="0.25">
      <c r="A292" s="4">
        <v>45719</v>
      </c>
      <c r="B292" s="5" t="s">
        <v>3</v>
      </c>
      <c r="C292" s="5" t="s">
        <v>5</v>
      </c>
    </row>
    <row r="293" spans="1:11" ht="15" x14ac:dyDescent="0.25">
      <c r="A293" s="4">
        <v>45720</v>
      </c>
      <c r="B293" s="5" t="s">
        <v>6</v>
      </c>
      <c r="C293" s="5" t="s">
        <v>5</v>
      </c>
    </row>
    <row r="294" spans="1:11" ht="15" x14ac:dyDescent="0.25">
      <c r="A294" s="4">
        <v>45765</v>
      </c>
      <c r="B294" s="5" t="s">
        <v>7</v>
      </c>
      <c r="C294" s="5" t="s">
        <v>8</v>
      </c>
    </row>
    <row r="295" spans="1:11" ht="15" x14ac:dyDescent="0.25">
      <c r="A295" s="4">
        <v>45768</v>
      </c>
      <c r="B295" s="5" t="s">
        <v>3</v>
      </c>
      <c r="C295" s="5" t="s">
        <v>10</v>
      </c>
    </row>
    <row r="296" spans="1:11" ht="15" x14ac:dyDescent="0.25">
      <c r="A296" s="4">
        <v>45778</v>
      </c>
      <c r="B296" s="5" t="s">
        <v>12</v>
      </c>
      <c r="C296" s="5" t="s">
        <v>11</v>
      </c>
    </row>
    <row r="297" spans="1:11" ht="15" x14ac:dyDescent="0.25">
      <c r="A297" s="4">
        <v>45827</v>
      </c>
      <c r="B297" s="5" t="s">
        <v>12</v>
      </c>
      <c r="C297" s="5" t="s">
        <v>13</v>
      </c>
    </row>
    <row r="298" spans="1:11" ht="15" x14ac:dyDescent="0.25">
      <c r="A298" s="4">
        <v>45907</v>
      </c>
      <c r="B298" s="5" t="s">
        <v>19</v>
      </c>
      <c r="C298" s="5" t="s">
        <v>14</v>
      </c>
    </row>
    <row r="299" spans="1:11" ht="15" x14ac:dyDescent="0.25">
      <c r="A299" s="4">
        <v>45942</v>
      </c>
      <c r="B299" s="5" t="s">
        <v>19</v>
      </c>
      <c r="C299" s="5" t="s">
        <v>15</v>
      </c>
    </row>
    <row r="300" spans="1:11" ht="15" x14ac:dyDescent="0.25">
      <c r="A300" s="4">
        <v>45963</v>
      </c>
      <c r="B300" s="5" t="s">
        <v>19</v>
      </c>
      <c r="C300" s="5" t="s">
        <v>16</v>
      </c>
    </row>
    <row r="301" spans="1:11" ht="15" x14ac:dyDescent="0.25">
      <c r="A301" s="4">
        <v>45976</v>
      </c>
      <c r="B301" s="5" t="s">
        <v>9</v>
      </c>
      <c r="C301" s="5" t="s">
        <v>17</v>
      </c>
    </row>
    <row r="302" spans="1:11" ht="15" x14ac:dyDescent="0.25">
      <c r="A302" s="4">
        <v>45981</v>
      </c>
      <c r="B302" s="5" t="s">
        <v>12</v>
      </c>
      <c r="C302" s="5" t="s">
        <v>21</v>
      </c>
      <c r="G302" s="8"/>
    </row>
    <row r="303" spans="1:11" ht="15" x14ac:dyDescent="0.25">
      <c r="A303" s="4">
        <v>46016</v>
      </c>
      <c r="B303" s="5" t="s">
        <v>12</v>
      </c>
      <c r="C303" s="5" t="s">
        <v>18</v>
      </c>
    </row>
    <row r="304" spans="1:11" ht="15" x14ac:dyDescent="0.25">
      <c r="A304" s="6">
        <v>46023</v>
      </c>
      <c r="B304" s="7" t="s">
        <v>12</v>
      </c>
      <c r="C304" s="7" t="s">
        <v>4</v>
      </c>
    </row>
    <row r="305" spans="1:7" ht="15" x14ac:dyDescent="0.25">
      <c r="A305" s="6">
        <v>46069</v>
      </c>
      <c r="B305" s="7" t="s">
        <v>3</v>
      </c>
      <c r="C305" s="7" t="s">
        <v>5</v>
      </c>
    </row>
    <row r="306" spans="1:7" ht="15" x14ac:dyDescent="0.25">
      <c r="A306" s="6">
        <v>46070</v>
      </c>
      <c r="B306" s="7" t="s">
        <v>6</v>
      </c>
      <c r="C306" s="7" t="s">
        <v>5</v>
      </c>
    </row>
    <row r="307" spans="1:7" ht="15" x14ac:dyDescent="0.25">
      <c r="A307" s="6">
        <v>46115</v>
      </c>
      <c r="B307" s="7" t="s">
        <v>7</v>
      </c>
      <c r="C307" s="7" t="s">
        <v>8</v>
      </c>
    </row>
    <row r="308" spans="1:7" ht="15" x14ac:dyDescent="0.25">
      <c r="A308" s="6">
        <v>46133</v>
      </c>
      <c r="B308" s="7" t="s">
        <v>6</v>
      </c>
      <c r="C308" s="7" t="s">
        <v>10</v>
      </c>
    </row>
    <row r="309" spans="1:7" ht="15" x14ac:dyDescent="0.25">
      <c r="A309" s="6">
        <v>46143</v>
      </c>
      <c r="B309" s="7" t="s">
        <v>7</v>
      </c>
      <c r="C309" s="7" t="s">
        <v>11</v>
      </c>
    </row>
    <row r="310" spans="1:7" ht="15" x14ac:dyDescent="0.25">
      <c r="A310" s="6">
        <v>46177</v>
      </c>
      <c r="B310" s="7" t="s">
        <v>12</v>
      </c>
      <c r="C310" s="7" t="s">
        <v>13</v>
      </c>
    </row>
    <row r="311" spans="1:7" ht="15" x14ac:dyDescent="0.25">
      <c r="A311" s="6">
        <v>46272</v>
      </c>
      <c r="B311" s="7" t="s">
        <v>3</v>
      </c>
      <c r="C311" s="7" t="s">
        <v>14</v>
      </c>
    </row>
    <row r="312" spans="1:7" ht="15" x14ac:dyDescent="0.25">
      <c r="A312" s="6">
        <v>46307</v>
      </c>
      <c r="B312" s="7" t="s">
        <v>3</v>
      </c>
      <c r="C312" s="7" t="s">
        <v>15</v>
      </c>
    </row>
    <row r="313" spans="1:7" ht="15" x14ac:dyDescent="0.25">
      <c r="A313" s="6">
        <v>46328</v>
      </c>
      <c r="B313" s="7" t="s">
        <v>3</v>
      </c>
      <c r="C313" s="7" t="s">
        <v>16</v>
      </c>
    </row>
    <row r="314" spans="1:7" ht="15" x14ac:dyDescent="0.25">
      <c r="A314" s="6">
        <v>46341</v>
      </c>
      <c r="B314" s="7" t="s">
        <v>19</v>
      </c>
      <c r="C314" s="7" t="s">
        <v>17</v>
      </c>
    </row>
    <row r="315" spans="1:7" ht="15" x14ac:dyDescent="0.25">
      <c r="A315" s="6">
        <v>46346</v>
      </c>
      <c r="B315" s="7" t="s">
        <v>7</v>
      </c>
      <c r="C315" s="7" t="s">
        <v>21</v>
      </c>
      <c r="G315" s="8"/>
    </row>
    <row r="316" spans="1:7" ht="15" x14ac:dyDescent="0.25">
      <c r="A316" s="6">
        <v>46381</v>
      </c>
      <c r="B316" s="7" t="s">
        <v>7</v>
      </c>
      <c r="C316" s="7" t="s">
        <v>18</v>
      </c>
    </row>
    <row r="317" spans="1:7" ht="15" x14ac:dyDescent="0.25">
      <c r="A317" s="4">
        <v>46388</v>
      </c>
      <c r="B317" s="5" t="s">
        <v>7</v>
      </c>
      <c r="C317" s="5" t="s">
        <v>4</v>
      </c>
    </row>
    <row r="318" spans="1:7" ht="15" x14ac:dyDescent="0.25">
      <c r="A318" s="4">
        <v>46426</v>
      </c>
      <c r="B318" s="5" t="s">
        <v>3</v>
      </c>
      <c r="C318" s="5" t="s">
        <v>5</v>
      </c>
    </row>
    <row r="319" spans="1:7" ht="15" x14ac:dyDescent="0.25">
      <c r="A319" s="4">
        <v>46427</v>
      </c>
      <c r="B319" s="5" t="s">
        <v>6</v>
      </c>
      <c r="C319" s="5" t="s">
        <v>5</v>
      </c>
    </row>
    <row r="320" spans="1:7" ht="15" x14ac:dyDescent="0.25">
      <c r="A320" s="4">
        <v>46472</v>
      </c>
      <c r="B320" s="5" t="s">
        <v>7</v>
      </c>
      <c r="C320" s="5" t="s">
        <v>8</v>
      </c>
    </row>
    <row r="321" spans="1:7" ht="15" x14ac:dyDescent="0.25">
      <c r="A321" s="4">
        <v>46498</v>
      </c>
      <c r="B321" s="5" t="s">
        <v>20</v>
      </c>
      <c r="C321" s="5" t="s">
        <v>10</v>
      </c>
    </row>
    <row r="322" spans="1:7" ht="15" x14ac:dyDescent="0.25">
      <c r="A322" s="4">
        <v>46508</v>
      </c>
      <c r="B322" s="5" t="s">
        <v>9</v>
      </c>
      <c r="C322" s="5" t="s">
        <v>11</v>
      </c>
    </row>
    <row r="323" spans="1:7" ht="15" x14ac:dyDescent="0.25">
      <c r="A323" s="4">
        <v>46534</v>
      </c>
      <c r="B323" s="5" t="s">
        <v>12</v>
      </c>
      <c r="C323" s="5" t="s">
        <v>13</v>
      </c>
    </row>
    <row r="324" spans="1:7" ht="15" x14ac:dyDescent="0.25">
      <c r="A324" s="4">
        <v>46637</v>
      </c>
      <c r="B324" s="5" t="s">
        <v>6</v>
      </c>
      <c r="C324" s="5" t="s">
        <v>14</v>
      </c>
    </row>
    <row r="325" spans="1:7" ht="15" x14ac:dyDescent="0.25">
      <c r="A325" s="4">
        <v>46672</v>
      </c>
      <c r="B325" s="5" t="s">
        <v>6</v>
      </c>
      <c r="C325" s="5" t="s">
        <v>15</v>
      </c>
    </row>
    <row r="326" spans="1:7" ht="15" x14ac:dyDescent="0.25">
      <c r="A326" s="4">
        <v>46693</v>
      </c>
      <c r="B326" s="5" t="s">
        <v>6</v>
      </c>
      <c r="C326" s="5" t="s">
        <v>16</v>
      </c>
    </row>
    <row r="327" spans="1:7" ht="15" x14ac:dyDescent="0.25">
      <c r="A327" s="4">
        <v>46706</v>
      </c>
      <c r="B327" s="5" t="s">
        <v>3</v>
      </c>
      <c r="C327" s="5" t="s">
        <v>17</v>
      </c>
    </row>
    <row r="328" spans="1:7" ht="15" x14ac:dyDescent="0.25">
      <c r="A328" s="4">
        <v>46711</v>
      </c>
      <c r="B328" s="5" t="s">
        <v>9</v>
      </c>
      <c r="C328" s="5" t="s">
        <v>21</v>
      </c>
      <c r="G328" s="8"/>
    </row>
    <row r="329" spans="1:7" ht="15" x14ac:dyDescent="0.25">
      <c r="A329" s="4">
        <v>46746</v>
      </c>
      <c r="B329" s="5" t="s">
        <v>9</v>
      </c>
      <c r="C329" s="5" t="s">
        <v>18</v>
      </c>
    </row>
    <row r="330" spans="1:7" ht="15" x14ac:dyDescent="0.25">
      <c r="A330" s="6">
        <v>46753</v>
      </c>
      <c r="B330" s="7" t="s">
        <v>9</v>
      </c>
      <c r="C330" s="7" t="s">
        <v>4</v>
      </c>
    </row>
    <row r="331" spans="1:7" ht="15" x14ac:dyDescent="0.25">
      <c r="A331" s="6">
        <v>46811</v>
      </c>
      <c r="B331" s="7" t="s">
        <v>3</v>
      </c>
      <c r="C331" s="7" t="s">
        <v>5</v>
      </c>
    </row>
    <row r="332" spans="1:7" ht="15" x14ac:dyDescent="0.25">
      <c r="A332" s="6">
        <v>46812</v>
      </c>
      <c r="B332" s="7" t="s">
        <v>6</v>
      </c>
      <c r="C332" s="7" t="s">
        <v>5</v>
      </c>
    </row>
    <row r="333" spans="1:7" ht="15" x14ac:dyDescent="0.25">
      <c r="A333" s="6">
        <v>46857</v>
      </c>
      <c r="B333" s="7" t="s">
        <v>7</v>
      </c>
      <c r="C333" s="7" t="s">
        <v>8</v>
      </c>
    </row>
    <row r="334" spans="1:7" ht="15" x14ac:dyDescent="0.25">
      <c r="A334" s="6">
        <v>46864</v>
      </c>
      <c r="B334" s="7" t="s">
        <v>7</v>
      </c>
      <c r="C334" s="7" t="s">
        <v>10</v>
      </c>
    </row>
    <row r="335" spans="1:7" ht="15" x14ac:dyDescent="0.25">
      <c r="A335" s="6">
        <v>46874</v>
      </c>
      <c r="B335" s="7" t="s">
        <v>3</v>
      </c>
      <c r="C335" s="7" t="s">
        <v>11</v>
      </c>
    </row>
    <row r="336" spans="1:7" ht="15" x14ac:dyDescent="0.25">
      <c r="A336" s="6">
        <v>46919</v>
      </c>
      <c r="B336" s="7" t="s">
        <v>12</v>
      </c>
      <c r="C336" s="7" t="s">
        <v>13</v>
      </c>
    </row>
    <row r="337" spans="1:7" ht="15" x14ac:dyDescent="0.25">
      <c r="A337" s="6">
        <v>47003</v>
      </c>
      <c r="B337" s="7" t="s">
        <v>12</v>
      </c>
      <c r="C337" s="7" t="s">
        <v>14</v>
      </c>
    </row>
    <row r="338" spans="1:7" ht="15" x14ac:dyDescent="0.25">
      <c r="A338" s="6">
        <v>47038</v>
      </c>
      <c r="B338" s="7" t="s">
        <v>12</v>
      </c>
      <c r="C338" s="7" t="s">
        <v>15</v>
      </c>
    </row>
    <row r="339" spans="1:7" ht="15" x14ac:dyDescent="0.25">
      <c r="A339" s="6">
        <v>47059</v>
      </c>
      <c r="B339" s="7" t="s">
        <v>12</v>
      </c>
      <c r="C339" s="7" t="s">
        <v>16</v>
      </c>
    </row>
    <row r="340" spans="1:7" ht="15" x14ac:dyDescent="0.25">
      <c r="A340" s="6">
        <v>47072</v>
      </c>
      <c r="B340" s="7" t="s">
        <v>20</v>
      </c>
      <c r="C340" s="7" t="s">
        <v>17</v>
      </c>
    </row>
    <row r="341" spans="1:7" ht="15" x14ac:dyDescent="0.25">
      <c r="A341" s="6">
        <v>47077</v>
      </c>
      <c r="B341" s="7" t="s">
        <v>3</v>
      </c>
      <c r="C341" s="7" t="s">
        <v>21</v>
      </c>
      <c r="G341" s="8"/>
    </row>
    <row r="342" spans="1:7" ht="15" x14ac:dyDescent="0.25">
      <c r="A342" s="6">
        <v>47112</v>
      </c>
      <c r="B342" s="7" t="s">
        <v>3</v>
      </c>
      <c r="C342" s="7" t="s">
        <v>18</v>
      </c>
    </row>
    <row r="343" spans="1:7" ht="15" x14ac:dyDescent="0.25">
      <c r="A343" s="4">
        <v>47119</v>
      </c>
      <c r="B343" s="5" t="s">
        <v>3</v>
      </c>
      <c r="C343" s="5" t="s">
        <v>4</v>
      </c>
    </row>
    <row r="344" spans="1:7" ht="15" x14ac:dyDescent="0.25">
      <c r="A344" s="4">
        <v>47161</v>
      </c>
      <c r="B344" s="5" t="s">
        <v>3</v>
      </c>
      <c r="C344" s="5" t="s">
        <v>5</v>
      </c>
    </row>
    <row r="345" spans="1:7" ht="15" x14ac:dyDescent="0.25">
      <c r="A345" s="4">
        <v>47162</v>
      </c>
      <c r="B345" s="5" t="s">
        <v>6</v>
      </c>
      <c r="C345" s="5" t="s">
        <v>5</v>
      </c>
    </row>
    <row r="346" spans="1:7" ht="15" x14ac:dyDescent="0.25">
      <c r="A346" s="4">
        <v>47207</v>
      </c>
      <c r="B346" s="5" t="s">
        <v>7</v>
      </c>
      <c r="C346" s="5" t="s">
        <v>8</v>
      </c>
    </row>
    <row r="347" spans="1:7" ht="15" x14ac:dyDescent="0.25">
      <c r="A347" s="4">
        <v>47229</v>
      </c>
      <c r="B347" s="5" t="s">
        <v>9</v>
      </c>
      <c r="C347" s="5" t="s">
        <v>10</v>
      </c>
    </row>
    <row r="348" spans="1:7" ht="15" x14ac:dyDescent="0.25">
      <c r="A348" s="4">
        <v>47239</v>
      </c>
      <c r="B348" s="5" t="s">
        <v>6</v>
      </c>
      <c r="C348" s="5" t="s">
        <v>11</v>
      </c>
    </row>
    <row r="349" spans="1:7" ht="15" x14ac:dyDescent="0.25">
      <c r="A349" s="4">
        <v>47269</v>
      </c>
      <c r="B349" s="5" t="s">
        <v>12</v>
      </c>
      <c r="C349" s="5" t="s">
        <v>13</v>
      </c>
    </row>
    <row r="350" spans="1:7" ht="15" x14ac:dyDescent="0.25">
      <c r="A350" s="4">
        <v>47368</v>
      </c>
      <c r="B350" s="5" t="s">
        <v>7</v>
      </c>
      <c r="C350" s="5" t="s">
        <v>14</v>
      </c>
    </row>
    <row r="351" spans="1:7" ht="15" x14ac:dyDescent="0.25">
      <c r="A351" s="4">
        <v>47403</v>
      </c>
      <c r="B351" s="5" t="s">
        <v>7</v>
      </c>
      <c r="C351" s="5" t="s">
        <v>15</v>
      </c>
    </row>
    <row r="352" spans="1:7" ht="15" x14ac:dyDescent="0.25">
      <c r="A352" s="4">
        <v>47424</v>
      </c>
      <c r="B352" s="5" t="s">
        <v>7</v>
      </c>
      <c r="C352" s="5" t="s">
        <v>16</v>
      </c>
    </row>
    <row r="353" spans="1:7" ht="15" x14ac:dyDescent="0.25">
      <c r="A353" s="4">
        <v>47437</v>
      </c>
      <c r="B353" s="5" t="s">
        <v>12</v>
      </c>
      <c r="C353" s="5" t="s">
        <v>17</v>
      </c>
    </row>
    <row r="354" spans="1:7" ht="15" x14ac:dyDescent="0.25">
      <c r="A354" s="4">
        <v>47442</v>
      </c>
      <c r="B354" s="5" t="s">
        <v>6</v>
      </c>
      <c r="C354" s="5" t="s">
        <v>21</v>
      </c>
      <c r="G354" s="8"/>
    </row>
    <row r="355" spans="1:7" ht="15" x14ac:dyDescent="0.25">
      <c r="A355" s="4">
        <v>47477</v>
      </c>
      <c r="B355" s="5" t="s">
        <v>6</v>
      </c>
      <c r="C355" s="5" t="s">
        <v>18</v>
      </c>
    </row>
    <row r="356" spans="1:7" ht="15" x14ac:dyDescent="0.25">
      <c r="A356" s="6">
        <v>47484</v>
      </c>
      <c r="B356" s="7" t="s">
        <v>6</v>
      </c>
      <c r="C356" s="7" t="s">
        <v>4</v>
      </c>
    </row>
    <row r="357" spans="1:7" ht="15" x14ac:dyDescent="0.25">
      <c r="A357" s="6">
        <v>47546</v>
      </c>
      <c r="B357" s="7" t="s">
        <v>3</v>
      </c>
      <c r="C357" s="7" t="s">
        <v>5</v>
      </c>
    </row>
    <row r="358" spans="1:7" ht="15" x14ac:dyDescent="0.25">
      <c r="A358" s="6">
        <v>47547</v>
      </c>
      <c r="B358" s="7" t="s">
        <v>6</v>
      </c>
      <c r="C358" s="7" t="s">
        <v>5</v>
      </c>
    </row>
    <row r="359" spans="1:7" ht="15" x14ac:dyDescent="0.25">
      <c r="A359" s="6">
        <v>47592</v>
      </c>
      <c r="B359" s="7" t="s">
        <v>7</v>
      </c>
      <c r="C359" s="7" t="s">
        <v>8</v>
      </c>
    </row>
    <row r="360" spans="1:7" ht="15" x14ac:dyDescent="0.25">
      <c r="A360" s="6">
        <v>47594</v>
      </c>
      <c r="B360" s="7" t="s">
        <v>19</v>
      </c>
      <c r="C360" s="7" t="s">
        <v>10</v>
      </c>
    </row>
    <row r="361" spans="1:7" ht="15" x14ac:dyDescent="0.25">
      <c r="A361" s="6">
        <v>47604</v>
      </c>
      <c r="B361" s="7" t="s">
        <v>20</v>
      </c>
      <c r="C361" s="7" t="s">
        <v>11</v>
      </c>
    </row>
    <row r="362" spans="1:7" ht="15" x14ac:dyDescent="0.25">
      <c r="A362" s="6">
        <v>47654</v>
      </c>
      <c r="B362" s="7" t="s">
        <v>12</v>
      </c>
      <c r="C362" s="7" t="s">
        <v>13</v>
      </c>
    </row>
    <row r="363" spans="1:7" ht="15" x14ac:dyDescent="0.25">
      <c r="A363" s="6">
        <v>47733</v>
      </c>
      <c r="B363" s="7" t="s">
        <v>9</v>
      </c>
      <c r="C363" s="7" t="s">
        <v>14</v>
      </c>
    </row>
    <row r="364" spans="1:7" ht="15" x14ac:dyDescent="0.25">
      <c r="A364" s="6">
        <v>47768</v>
      </c>
      <c r="B364" s="7" t="s">
        <v>9</v>
      </c>
      <c r="C364" s="7" t="s">
        <v>15</v>
      </c>
    </row>
    <row r="365" spans="1:7" ht="15" x14ac:dyDescent="0.25">
      <c r="A365" s="6">
        <v>47789</v>
      </c>
      <c r="B365" s="7" t="s">
        <v>9</v>
      </c>
      <c r="C365" s="7" t="s">
        <v>16</v>
      </c>
    </row>
    <row r="366" spans="1:7" ht="15" x14ac:dyDescent="0.25">
      <c r="A366" s="6">
        <v>47802</v>
      </c>
      <c r="B366" s="7" t="s">
        <v>7</v>
      </c>
      <c r="C366" s="7" t="s">
        <v>17</v>
      </c>
    </row>
    <row r="367" spans="1:7" ht="15" x14ac:dyDescent="0.25">
      <c r="A367" s="6">
        <v>47807</v>
      </c>
      <c r="B367" s="7" t="s">
        <v>20</v>
      </c>
      <c r="C367" s="7" t="s">
        <v>21</v>
      </c>
      <c r="G367" s="8"/>
    </row>
    <row r="368" spans="1:7" ht="15" x14ac:dyDescent="0.25">
      <c r="A368" s="6">
        <v>47842</v>
      </c>
      <c r="B368" s="7" t="s">
        <v>20</v>
      </c>
      <c r="C368" s="7" t="s">
        <v>18</v>
      </c>
    </row>
    <row r="369" spans="1:7" ht="15" x14ac:dyDescent="0.25">
      <c r="A369" s="4">
        <v>47849</v>
      </c>
      <c r="B369" s="5" t="s">
        <v>20</v>
      </c>
      <c r="C369" s="5" t="s">
        <v>4</v>
      </c>
    </row>
    <row r="370" spans="1:7" ht="15" x14ac:dyDescent="0.25">
      <c r="A370" s="4">
        <v>47903</v>
      </c>
      <c r="B370" s="5" t="s">
        <v>3</v>
      </c>
      <c r="C370" s="5" t="s">
        <v>5</v>
      </c>
    </row>
    <row r="371" spans="1:7" ht="15" x14ac:dyDescent="0.25">
      <c r="A371" s="4">
        <v>47904</v>
      </c>
      <c r="B371" s="5" t="s">
        <v>6</v>
      </c>
      <c r="C371" s="5" t="s">
        <v>5</v>
      </c>
    </row>
    <row r="372" spans="1:7" ht="15" x14ac:dyDescent="0.25">
      <c r="A372" s="4">
        <v>47949</v>
      </c>
      <c r="B372" s="5" t="s">
        <v>7</v>
      </c>
      <c r="C372" s="5" t="s">
        <v>8</v>
      </c>
    </row>
    <row r="373" spans="1:7" ht="15" x14ac:dyDescent="0.25">
      <c r="A373" s="4">
        <v>47959</v>
      </c>
      <c r="B373" s="5" t="s">
        <v>3</v>
      </c>
      <c r="C373" s="5" t="s">
        <v>10</v>
      </c>
    </row>
    <row r="374" spans="1:7" ht="15" x14ac:dyDescent="0.25">
      <c r="A374" s="4">
        <v>47969</v>
      </c>
      <c r="B374" s="5" t="s">
        <v>12</v>
      </c>
      <c r="C374" s="5" t="s">
        <v>11</v>
      </c>
    </row>
    <row r="375" spans="1:7" ht="15" x14ac:dyDescent="0.25">
      <c r="A375" s="4">
        <v>48011</v>
      </c>
      <c r="B375" s="5" t="s">
        <v>12</v>
      </c>
      <c r="C375" s="5" t="s">
        <v>13</v>
      </c>
    </row>
    <row r="376" spans="1:7" ht="15" x14ac:dyDescent="0.25">
      <c r="A376" s="4">
        <v>48098</v>
      </c>
      <c r="B376" s="5" t="s">
        <v>19</v>
      </c>
      <c r="C376" s="5" t="s">
        <v>14</v>
      </c>
    </row>
    <row r="377" spans="1:7" ht="15" x14ac:dyDescent="0.25">
      <c r="A377" s="4">
        <v>48133</v>
      </c>
      <c r="B377" s="5" t="s">
        <v>19</v>
      </c>
      <c r="C377" s="5" t="s">
        <v>15</v>
      </c>
    </row>
    <row r="378" spans="1:7" ht="15" x14ac:dyDescent="0.25">
      <c r="A378" s="4">
        <v>48154</v>
      </c>
      <c r="B378" s="5" t="s">
        <v>19</v>
      </c>
      <c r="C378" s="5" t="s">
        <v>16</v>
      </c>
    </row>
    <row r="379" spans="1:7" ht="15" x14ac:dyDescent="0.25">
      <c r="A379" s="4">
        <v>48167</v>
      </c>
      <c r="B379" s="5" t="s">
        <v>9</v>
      </c>
      <c r="C379" s="5" t="s">
        <v>17</v>
      </c>
    </row>
    <row r="380" spans="1:7" ht="15" x14ac:dyDescent="0.25">
      <c r="A380" s="4">
        <v>48172</v>
      </c>
      <c r="B380" s="5" t="s">
        <v>12</v>
      </c>
      <c r="C380" s="5" t="s">
        <v>21</v>
      </c>
      <c r="G380" s="8"/>
    </row>
    <row r="381" spans="1:7" ht="15" x14ac:dyDescent="0.25">
      <c r="A381" s="4">
        <v>48207</v>
      </c>
      <c r="B381" s="5" t="s">
        <v>12</v>
      </c>
      <c r="C381" s="5" t="s">
        <v>18</v>
      </c>
    </row>
    <row r="382" spans="1:7" ht="15" x14ac:dyDescent="0.25">
      <c r="A382" s="6">
        <v>48214</v>
      </c>
      <c r="B382" s="7" t="s">
        <v>12</v>
      </c>
      <c r="C382" s="7" t="s">
        <v>4</v>
      </c>
    </row>
    <row r="383" spans="1:7" ht="15" x14ac:dyDescent="0.25">
      <c r="A383" s="6">
        <v>48253</v>
      </c>
      <c r="B383" s="7" t="s">
        <v>3</v>
      </c>
      <c r="C383" s="7" t="s">
        <v>5</v>
      </c>
    </row>
    <row r="384" spans="1:7" ht="15" x14ac:dyDescent="0.25">
      <c r="A384" s="6">
        <v>48254</v>
      </c>
      <c r="B384" s="7" t="s">
        <v>6</v>
      </c>
      <c r="C384" s="7" t="s">
        <v>5</v>
      </c>
    </row>
    <row r="385" spans="1:7" ht="15" x14ac:dyDescent="0.25">
      <c r="A385" s="6">
        <v>48299</v>
      </c>
      <c r="B385" s="7" t="s">
        <v>7</v>
      </c>
      <c r="C385" s="7" t="s">
        <v>8</v>
      </c>
    </row>
    <row r="386" spans="1:7" ht="15" x14ac:dyDescent="0.25">
      <c r="A386" s="6">
        <v>48325</v>
      </c>
      <c r="B386" s="7" t="s">
        <v>20</v>
      </c>
      <c r="C386" s="7" t="s">
        <v>10</v>
      </c>
    </row>
    <row r="387" spans="1:7" ht="15" x14ac:dyDescent="0.25">
      <c r="A387" s="6">
        <v>48335</v>
      </c>
      <c r="B387" s="7" t="s">
        <v>9</v>
      </c>
      <c r="C387" s="7" t="s">
        <v>11</v>
      </c>
    </row>
    <row r="388" spans="1:7" ht="15" x14ac:dyDescent="0.25">
      <c r="A388" s="6">
        <v>48361</v>
      </c>
      <c r="B388" s="7" t="s">
        <v>12</v>
      </c>
      <c r="C388" s="7" t="s">
        <v>13</v>
      </c>
    </row>
    <row r="389" spans="1:7" ht="15" x14ac:dyDescent="0.25">
      <c r="A389" s="6">
        <v>48464</v>
      </c>
      <c r="B389" s="7" t="s">
        <v>6</v>
      </c>
      <c r="C389" s="7" t="s">
        <v>14</v>
      </c>
    </row>
    <row r="390" spans="1:7" ht="15" x14ac:dyDescent="0.25">
      <c r="A390" s="6">
        <v>48499</v>
      </c>
      <c r="B390" s="7" t="s">
        <v>6</v>
      </c>
      <c r="C390" s="7" t="s">
        <v>15</v>
      </c>
    </row>
    <row r="391" spans="1:7" ht="15" x14ac:dyDescent="0.25">
      <c r="A391" s="6">
        <v>48520</v>
      </c>
      <c r="B391" s="7" t="s">
        <v>6</v>
      </c>
      <c r="C391" s="7" t="s">
        <v>16</v>
      </c>
    </row>
    <row r="392" spans="1:7" ht="15" x14ac:dyDescent="0.25">
      <c r="A392" s="6">
        <v>48533</v>
      </c>
      <c r="B392" s="7" t="s">
        <v>3</v>
      </c>
      <c r="C392" s="7" t="s">
        <v>17</v>
      </c>
    </row>
    <row r="393" spans="1:7" ht="15" x14ac:dyDescent="0.25">
      <c r="A393" s="6">
        <v>48538</v>
      </c>
      <c r="B393" s="7" t="s">
        <v>9</v>
      </c>
      <c r="C393" s="7" t="s">
        <v>21</v>
      </c>
      <c r="G393" s="8"/>
    </row>
    <row r="394" spans="1:7" ht="15" x14ac:dyDescent="0.25">
      <c r="A394" s="6">
        <v>48573</v>
      </c>
      <c r="B394" s="7" t="s">
        <v>9</v>
      </c>
      <c r="C394" s="7" t="s">
        <v>18</v>
      </c>
    </row>
    <row r="395" spans="1:7" ht="15" x14ac:dyDescent="0.25">
      <c r="A395" s="4">
        <v>48580</v>
      </c>
      <c r="B395" s="5" t="s">
        <v>9</v>
      </c>
      <c r="C395" s="5" t="s">
        <v>4</v>
      </c>
    </row>
    <row r="396" spans="1:7" ht="15" x14ac:dyDescent="0.25">
      <c r="A396" s="4">
        <v>48638</v>
      </c>
      <c r="B396" s="5" t="s">
        <v>3</v>
      </c>
      <c r="C396" s="5" t="s">
        <v>5</v>
      </c>
    </row>
    <row r="397" spans="1:7" ht="15" x14ac:dyDescent="0.25">
      <c r="A397" s="4">
        <v>48639</v>
      </c>
      <c r="B397" s="5" t="s">
        <v>6</v>
      </c>
      <c r="C397" s="5" t="s">
        <v>5</v>
      </c>
    </row>
    <row r="398" spans="1:7" ht="15" x14ac:dyDescent="0.25">
      <c r="A398" s="4">
        <v>48684</v>
      </c>
      <c r="B398" s="5" t="s">
        <v>7</v>
      </c>
      <c r="C398" s="5" t="s">
        <v>8</v>
      </c>
    </row>
    <row r="399" spans="1:7" ht="15" x14ac:dyDescent="0.25">
      <c r="A399" s="4">
        <v>48690</v>
      </c>
      <c r="B399" s="5" t="s">
        <v>12</v>
      </c>
      <c r="C399" s="5" t="s">
        <v>10</v>
      </c>
    </row>
    <row r="400" spans="1:7" ht="15" x14ac:dyDescent="0.25">
      <c r="A400" s="4">
        <v>48700</v>
      </c>
      <c r="B400" s="5" t="s">
        <v>19</v>
      </c>
      <c r="C400" s="5" t="s">
        <v>11</v>
      </c>
    </row>
    <row r="401" spans="1:7" ht="15" x14ac:dyDescent="0.25">
      <c r="A401" s="4">
        <v>48746</v>
      </c>
      <c r="B401" s="5" t="s">
        <v>12</v>
      </c>
      <c r="C401" s="5" t="s">
        <v>13</v>
      </c>
    </row>
    <row r="402" spans="1:7" ht="15" x14ac:dyDescent="0.25">
      <c r="A402" s="4">
        <v>48829</v>
      </c>
      <c r="B402" s="5" t="s">
        <v>20</v>
      </c>
      <c r="C402" s="5" t="s">
        <v>14</v>
      </c>
    </row>
    <row r="403" spans="1:7" ht="15" x14ac:dyDescent="0.25">
      <c r="A403" s="4">
        <v>48864</v>
      </c>
      <c r="B403" s="5" t="s">
        <v>20</v>
      </c>
      <c r="C403" s="5" t="s">
        <v>15</v>
      </c>
    </row>
    <row r="404" spans="1:7" ht="15" x14ac:dyDescent="0.25">
      <c r="A404" s="4">
        <v>48885</v>
      </c>
      <c r="B404" s="5" t="s">
        <v>20</v>
      </c>
      <c r="C404" s="5" t="s">
        <v>16</v>
      </c>
    </row>
    <row r="405" spans="1:7" ht="15" x14ac:dyDescent="0.25">
      <c r="A405" s="4">
        <v>48898</v>
      </c>
      <c r="B405" s="5" t="s">
        <v>6</v>
      </c>
      <c r="C405" s="5" t="s">
        <v>17</v>
      </c>
    </row>
    <row r="406" spans="1:7" ht="15" x14ac:dyDescent="0.25">
      <c r="A406" s="4">
        <v>48903</v>
      </c>
      <c r="B406" s="5" t="s">
        <v>19</v>
      </c>
      <c r="C406" s="5" t="s">
        <v>21</v>
      </c>
      <c r="G406" s="8"/>
    </row>
    <row r="407" spans="1:7" ht="15" x14ac:dyDescent="0.25">
      <c r="A407" s="4">
        <v>48938</v>
      </c>
      <c r="B407" s="5" t="s">
        <v>19</v>
      </c>
      <c r="C407" s="5" t="s">
        <v>18</v>
      </c>
    </row>
    <row r="408" spans="1:7" ht="15" x14ac:dyDescent="0.25">
      <c r="A408" s="6">
        <v>48945</v>
      </c>
      <c r="B408" s="7" t="s">
        <v>19</v>
      </c>
      <c r="C408" s="7" t="s">
        <v>4</v>
      </c>
    </row>
    <row r="409" spans="1:7" ht="15" x14ac:dyDescent="0.25">
      <c r="A409" s="6">
        <v>48995</v>
      </c>
      <c r="B409" s="7" t="s">
        <v>3</v>
      </c>
      <c r="C409" s="7" t="s">
        <v>5</v>
      </c>
    </row>
    <row r="410" spans="1:7" ht="15" x14ac:dyDescent="0.25">
      <c r="A410" s="6">
        <v>48996</v>
      </c>
      <c r="B410" s="7" t="s">
        <v>6</v>
      </c>
      <c r="C410" s="7" t="s">
        <v>5</v>
      </c>
    </row>
    <row r="411" spans="1:7" ht="15" x14ac:dyDescent="0.25">
      <c r="A411" s="6">
        <v>49041</v>
      </c>
      <c r="B411" s="7" t="s">
        <v>7</v>
      </c>
      <c r="C411" s="7" t="s">
        <v>8</v>
      </c>
    </row>
    <row r="412" spans="1:7" ht="15" x14ac:dyDescent="0.25">
      <c r="A412" s="6">
        <v>49055</v>
      </c>
      <c r="B412" s="7" t="s">
        <v>7</v>
      </c>
      <c r="C412" s="7" t="s">
        <v>10</v>
      </c>
    </row>
    <row r="413" spans="1:7" ht="15" x14ac:dyDescent="0.25">
      <c r="A413" s="6">
        <v>49065</v>
      </c>
      <c r="B413" s="7" t="s">
        <v>3</v>
      </c>
      <c r="C413" s="7" t="s">
        <v>11</v>
      </c>
    </row>
    <row r="414" spans="1:7" ht="15" x14ac:dyDescent="0.25">
      <c r="A414" s="6">
        <v>49103</v>
      </c>
      <c r="B414" s="7" t="s">
        <v>12</v>
      </c>
      <c r="C414" s="7" t="s">
        <v>13</v>
      </c>
    </row>
    <row r="415" spans="1:7" ht="15" x14ac:dyDescent="0.25">
      <c r="A415" s="6">
        <v>49194</v>
      </c>
      <c r="B415" s="7" t="s">
        <v>12</v>
      </c>
      <c r="C415" s="7" t="s">
        <v>14</v>
      </c>
    </row>
    <row r="416" spans="1:7" ht="15" x14ac:dyDescent="0.25">
      <c r="A416" s="6">
        <v>49229</v>
      </c>
      <c r="B416" s="7" t="s">
        <v>12</v>
      </c>
      <c r="C416" s="7" t="s">
        <v>15</v>
      </c>
    </row>
    <row r="417" spans="1:7" ht="15" x14ac:dyDescent="0.25">
      <c r="A417" s="6">
        <v>49250</v>
      </c>
      <c r="B417" s="7" t="s">
        <v>12</v>
      </c>
      <c r="C417" s="7" t="s">
        <v>16</v>
      </c>
    </row>
    <row r="418" spans="1:7" ht="15" x14ac:dyDescent="0.25">
      <c r="A418" s="6">
        <v>49263</v>
      </c>
      <c r="B418" s="7" t="s">
        <v>20</v>
      </c>
      <c r="C418" s="7" t="s">
        <v>17</v>
      </c>
    </row>
    <row r="419" spans="1:7" ht="15" x14ac:dyDescent="0.25">
      <c r="A419" s="6">
        <v>49268</v>
      </c>
      <c r="B419" s="7" t="s">
        <v>3</v>
      </c>
      <c r="C419" s="7" t="s">
        <v>21</v>
      </c>
      <c r="G419" s="8"/>
    </row>
    <row r="420" spans="1:7" ht="15" x14ac:dyDescent="0.25">
      <c r="A420" s="6">
        <v>49303</v>
      </c>
      <c r="B420" s="7" t="s">
        <v>3</v>
      </c>
      <c r="C420" s="7" t="s">
        <v>18</v>
      </c>
    </row>
    <row r="421" spans="1:7" ht="15" x14ac:dyDescent="0.25">
      <c r="A421" s="4">
        <v>49310</v>
      </c>
      <c r="B421" s="5" t="s">
        <v>3</v>
      </c>
      <c r="C421" s="5" t="s">
        <v>4</v>
      </c>
    </row>
    <row r="422" spans="1:7" ht="15" x14ac:dyDescent="0.25">
      <c r="A422" s="4">
        <v>49345</v>
      </c>
      <c r="B422" s="5" t="s">
        <v>3</v>
      </c>
      <c r="C422" s="5" t="s">
        <v>5</v>
      </c>
    </row>
    <row r="423" spans="1:7" ht="15" x14ac:dyDescent="0.25">
      <c r="A423" s="4">
        <v>49346</v>
      </c>
      <c r="B423" s="5" t="s">
        <v>6</v>
      </c>
      <c r="C423" s="5" t="s">
        <v>5</v>
      </c>
    </row>
    <row r="424" spans="1:7" ht="15" x14ac:dyDescent="0.25">
      <c r="A424" s="4">
        <v>49391</v>
      </c>
      <c r="B424" s="5" t="s">
        <v>7</v>
      </c>
      <c r="C424" s="5" t="s">
        <v>8</v>
      </c>
    </row>
    <row r="425" spans="1:7" ht="15" x14ac:dyDescent="0.25">
      <c r="A425" s="4">
        <v>49420</v>
      </c>
      <c r="B425" s="5" t="s">
        <v>9</v>
      </c>
      <c r="C425" s="5" t="s">
        <v>10</v>
      </c>
    </row>
    <row r="426" spans="1:7" ht="15" x14ac:dyDescent="0.25">
      <c r="A426" s="4">
        <v>49430</v>
      </c>
      <c r="B426" s="5" t="s">
        <v>6</v>
      </c>
      <c r="C426" s="5" t="s">
        <v>11</v>
      </c>
    </row>
    <row r="427" spans="1:7" ht="15" x14ac:dyDescent="0.25">
      <c r="A427" s="4">
        <v>49453</v>
      </c>
      <c r="B427" s="5" t="s">
        <v>12</v>
      </c>
      <c r="C427" s="5" t="s">
        <v>13</v>
      </c>
    </row>
    <row r="428" spans="1:7" ht="15" x14ac:dyDescent="0.25">
      <c r="A428" s="4">
        <v>49559</v>
      </c>
      <c r="B428" s="5" t="s">
        <v>7</v>
      </c>
      <c r="C428" s="5" t="s">
        <v>14</v>
      </c>
    </row>
    <row r="429" spans="1:7" ht="15" x14ac:dyDescent="0.25">
      <c r="A429" s="4">
        <v>49594</v>
      </c>
      <c r="B429" s="5" t="s">
        <v>7</v>
      </c>
      <c r="C429" s="5" t="s">
        <v>15</v>
      </c>
    </row>
    <row r="430" spans="1:7" ht="15" x14ac:dyDescent="0.25">
      <c r="A430" s="4">
        <v>49615</v>
      </c>
      <c r="B430" s="5" t="s">
        <v>7</v>
      </c>
      <c r="C430" s="5" t="s">
        <v>16</v>
      </c>
    </row>
    <row r="431" spans="1:7" ht="15" x14ac:dyDescent="0.25">
      <c r="A431" s="4">
        <v>49628</v>
      </c>
      <c r="B431" s="5" t="s">
        <v>12</v>
      </c>
      <c r="C431" s="5" t="s">
        <v>17</v>
      </c>
    </row>
    <row r="432" spans="1:7" ht="15" x14ac:dyDescent="0.25">
      <c r="A432" s="4">
        <v>49633</v>
      </c>
      <c r="B432" s="5" t="s">
        <v>6</v>
      </c>
      <c r="C432" s="5" t="s">
        <v>21</v>
      </c>
      <c r="G432" s="8"/>
    </row>
    <row r="433" spans="1:7" ht="15" x14ac:dyDescent="0.25">
      <c r="A433" s="4">
        <v>49668</v>
      </c>
      <c r="B433" s="5" t="s">
        <v>6</v>
      </c>
      <c r="C433" s="5" t="s">
        <v>18</v>
      </c>
    </row>
    <row r="434" spans="1:7" ht="15" x14ac:dyDescent="0.25">
      <c r="A434" s="6">
        <v>49675</v>
      </c>
      <c r="B434" s="7" t="s">
        <v>6</v>
      </c>
      <c r="C434" s="7" t="s">
        <v>4</v>
      </c>
    </row>
    <row r="435" spans="1:7" ht="15" x14ac:dyDescent="0.25">
      <c r="A435" s="6">
        <v>49730</v>
      </c>
      <c r="B435" s="7" t="s">
        <v>3</v>
      </c>
      <c r="C435" s="7" t="s">
        <v>5</v>
      </c>
    </row>
    <row r="436" spans="1:7" ht="15" x14ac:dyDescent="0.25">
      <c r="A436" s="6">
        <v>49731</v>
      </c>
      <c r="B436" s="7" t="s">
        <v>6</v>
      </c>
      <c r="C436" s="7" t="s">
        <v>5</v>
      </c>
    </row>
    <row r="437" spans="1:7" ht="15" x14ac:dyDescent="0.25">
      <c r="A437" s="6">
        <v>49776</v>
      </c>
      <c r="B437" s="7" t="s">
        <v>7</v>
      </c>
      <c r="C437" s="7" t="s">
        <v>8</v>
      </c>
    </row>
    <row r="438" spans="1:7" ht="15" x14ac:dyDescent="0.25">
      <c r="A438" s="6">
        <v>49786</v>
      </c>
      <c r="B438" s="7" t="s">
        <v>3</v>
      </c>
      <c r="C438" s="7" t="s">
        <v>10</v>
      </c>
    </row>
    <row r="439" spans="1:7" ht="15" x14ac:dyDescent="0.25">
      <c r="A439" s="6">
        <v>49796</v>
      </c>
      <c r="B439" s="7" t="s">
        <v>12</v>
      </c>
      <c r="C439" s="7" t="s">
        <v>11</v>
      </c>
    </row>
    <row r="440" spans="1:7" ht="15" x14ac:dyDescent="0.25">
      <c r="A440" s="6">
        <v>49838</v>
      </c>
      <c r="B440" s="7" t="s">
        <v>12</v>
      </c>
      <c r="C440" s="7" t="s">
        <v>13</v>
      </c>
    </row>
    <row r="441" spans="1:7" ht="15" x14ac:dyDescent="0.25">
      <c r="A441" s="6">
        <v>49925</v>
      </c>
      <c r="B441" s="7" t="s">
        <v>19</v>
      </c>
      <c r="C441" s="7" t="s">
        <v>14</v>
      </c>
    </row>
    <row r="442" spans="1:7" ht="15" x14ac:dyDescent="0.25">
      <c r="A442" s="6">
        <v>49960</v>
      </c>
      <c r="B442" s="7" t="s">
        <v>19</v>
      </c>
      <c r="C442" s="7" t="s">
        <v>15</v>
      </c>
    </row>
    <row r="443" spans="1:7" ht="15" x14ac:dyDescent="0.25">
      <c r="A443" s="6">
        <v>49981</v>
      </c>
      <c r="B443" s="7" t="s">
        <v>19</v>
      </c>
      <c r="C443" s="7" t="s">
        <v>16</v>
      </c>
    </row>
    <row r="444" spans="1:7" ht="15" x14ac:dyDescent="0.25">
      <c r="A444" s="6">
        <v>49994</v>
      </c>
      <c r="B444" s="7" t="s">
        <v>9</v>
      </c>
      <c r="C444" s="7" t="s">
        <v>17</v>
      </c>
    </row>
    <row r="445" spans="1:7" ht="15" x14ac:dyDescent="0.25">
      <c r="A445" s="6">
        <v>49999</v>
      </c>
      <c r="B445" s="7" t="s">
        <v>12</v>
      </c>
      <c r="C445" s="7" t="s">
        <v>21</v>
      </c>
      <c r="G445" s="8"/>
    </row>
    <row r="446" spans="1:7" ht="15" x14ac:dyDescent="0.25">
      <c r="A446" s="6">
        <v>50034</v>
      </c>
      <c r="B446" s="7" t="s">
        <v>12</v>
      </c>
      <c r="C446" s="7" t="s">
        <v>18</v>
      </c>
    </row>
    <row r="447" spans="1:7" ht="15" x14ac:dyDescent="0.25">
      <c r="A447" s="4">
        <v>50041</v>
      </c>
      <c r="B447" s="5" t="s">
        <v>12</v>
      </c>
      <c r="C447" s="5" t="s">
        <v>4</v>
      </c>
    </row>
    <row r="448" spans="1:7" ht="15" x14ac:dyDescent="0.25">
      <c r="A448" s="4">
        <v>50087</v>
      </c>
      <c r="B448" s="5" t="s">
        <v>3</v>
      </c>
      <c r="C448" s="5" t="s">
        <v>5</v>
      </c>
    </row>
    <row r="449" spans="1:7" ht="15" x14ac:dyDescent="0.25">
      <c r="A449" s="4">
        <v>50088</v>
      </c>
      <c r="B449" s="5" t="s">
        <v>6</v>
      </c>
      <c r="C449" s="5" t="s">
        <v>5</v>
      </c>
    </row>
    <row r="450" spans="1:7" ht="15" x14ac:dyDescent="0.25">
      <c r="A450" s="4">
        <v>50133</v>
      </c>
      <c r="B450" s="5" t="s">
        <v>7</v>
      </c>
      <c r="C450" s="5" t="s">
        <v>8</v>
      </c>
    </row>
    <row r="451" spans="1:7" ht="15" x14ac:dyDescent="0.25">
      <c r="A451" s="4">
        <v>50151</v>
      </c>
      <c r="B451" s="5" t="s">
        <v>6</v>
      </c>
      <c r="C451" s="5" t="s">
        <v>10</v>
      </c>
    </row>
    <row r="452" spans="1:7" ht="15" x14ac:dyDescent="0.25">
      <c r="A452" s="4">
        <v>50161</v>
      </c>
      <c r="B452" s="5" t="s">
        <v>7</v>
      </c>
      <c r="C452" s="5" t="s">
        <v>11</v>
      </c>
    </row>
    <row r="453" spans="1:7" ht="15" x14ac:dyDescent="0.25">
      <c r="A453" s="4">
        <v>50195</v>
      </c>
      <c r="B453" s="5" t="s">
        <v>12</v>
      </c>
      <c r="C453" s="5" t="s">
        <v>13</v>
      </c>
    </row>
    <row r="454" spans="1:7" ht="15" x14ac:dyDescent="0.25">
      <c r="A454" s="4">
        <v>50290</v>
      </c>
      <c r="B454" s="5" t="s">
        <v>3</v>
      </c>
      <c r="C454" s="5" t="s">
        <v>14</v>
      </c>
    </row>
    <row r="455" spans="1:7" ht="15" x14ac:dyDescent="0.25">
      <c r="A455" s="4">
        <v>50325</v>
      </c>
      <c r="B455" s="5" t="s">
        <v>3</v>
      </c>
      <c r="C455" s="5" t="s">
        <v>15</v>
      </c>
    </row>
    <row r="456" spans="1:7" ht="15" x14ac:dyDescent="0.25">
      <c r="A456" s="4">
        <v>50346</v>
      </c>
      <c r="B456" s="5" t="s">
        <v>3</v>
      </c>
      <c r="C456" s="5" t="s">
        <v>16</v>
      </c>
    </row>
    <row r="457" spans="1:7" ht="15" x14ac:dyDescent="0.25">
      <c r="A457" s="4">
        <v>50359</v>
      </c>
      <c r="B457" s="5" t="s">
        <v>19</v>
      </c>
      <c r="C457" s="5" t="s">
        <v>17</v>
      </c>
    </row>
    <row r="458" spans="1:7" ht="15" x14ac:dyDescent="0.25">
      <c r="A458" s="4">
        <v>50364</v>
      </c>
      <c r="B458" s="5" t="s">
        <v>7</v>
      </c>
      <c r="C458" s="5" t="s">
        <v>21</v>
      </c>
      <c r="G458" s="8"/>
    </row>
    <row r="459" spans="1:7" ht="15" x14ac:dyDescent="0.25">
      <c r="A459" s="4">
        <v>50399</v>
      </c>
      <c r="B459" s="5" t="s">
        <v>7</v>
      </c>
      <c r="C459" s="5" t="s">
        <v>18</v>
      </c>
    </row>
    <row r="460" spans="1:7" ht="15" x14ac:dyDescent="0.25">
      <c r="A460" s="6">
        <v>50406</v>
      </c>
      <c r="B460" s="7" t="s">
        <v>7</v>
      </c>
      <c r="C460" s="7" t="s">
        <v>4</v>
      </c>
    </row>
    <row r="461" spans="1:7" ht="15" x14ac:dyDescent="0.25">
      <c r="A461" s="6">
        <v>50472</v>
      </c>
      <c r="B461" s="7" t="s">
        <v>3</v>
      </c>
      <c r="C461" s="7" t="s">
        <v>5</v>
      </c>
    </row>
    <row r="462" spans="1:7" ht="15" x14ac:dyDescent="0.25">
      <c r="A462" s="6">
        <v>50473</v>
      </c>
      <c r="B462" s="7" t="s">
        <v>6</v>
      </c>
      <c r="C462" s="7" t="s">
        <v>5</v>
      </c>
    </row>
    <row r="463" spans="1:7" ht="15" x14ac:dyDescent="0.25">
      <c r="A463" s="6">
        <v>50516</v>
      </c>
      <c r="B463" s="7" t="s">
        <v>20</v>
      </c>
      <c r="C463" s="7" t="s">
        <v>10</v>
      </c>
    </row>
    <row r="464" spans="1:7" ht="15" x14ac:dyDescent="0.25">
      <c r="A464" s="6">
        <v>50518</v>
      </c>
      <c r="B464" s="7" t="s">
        <v>7</v>
      </c>
      <c r="C464" s="7" t="s">
        <v>8</v>
      </c>
    </row>
    <row r="465" spans="1:7" ht="15" x14ac:dyDescent="0.25">
      <c r="A465" s="6">
        <v>50526</v>
      </c>
      <c r="B465" s="7" t="s">
        <v>9</v>
      </c>
      <c r="C465" s="7" t="s">
        <v>11</v>
      </c>
    </row>
    <row r="466" spans="1:7" ht="15" x14ac:dyDescent="0.25">
      <c r="A466" s="6">
        <v>50580</v>
      </c>
      <c r="B466" s="7" t="s">
        <v>12</v>
      </c>
      <c r="C466" s="7" t="s">
        <v>13</v>
      </c>
    </row>
    <row r="467" spans="1:7" ht="15" x14ac:dyDescent="0.25">
      <c r="A467" s="6">
        <v>50655</v>
      </c>
      <c r="B467" s="7" t="s">
        <v>6</v>
      </c>
      <c r="C467" s="7" t="s">
        <v>14</v>
      </c>
    </row>
    <row r="468" spans="1:7" ht="15" x14ac:dyDescent="0.25">
      <c r="A468" s="6">
        <v>50690</v>
      </c>
      <c r="B468" s="7" t="s">
        <v>6</v>
      </c>
      <c r="C468" s="7" t="s">
        <v>15</v>
      </c>
    </row>
    <row r="469" spans="1:7" ht="15" x14ac:dyDescent="0.25">
      <c r="A469" s="6">
        <v>50711</v>
      </c>
      <c r="B469" s="7" t="s">
        <v>6</v>
      </c>
      <c r="C469" s="7" t="s">
        <v>16</v>
      </c>
    </row>
    <row r="470" spans="1:7" ht="15" x14ac:dyDescent="0.25">
      <c r="A470" s="6">
        <v>50724</v>
      </c>
      <c r="B470" s="7" t="s">
        <v>3</v>
      </c>
      <c r="C470" s="7" t="s">
        <v>17</v>
      </c>
    </row>
    <row r="471" spans="1:7" ht="15" x14ac:dyDescent="0.25">
      <c r="A471" s="6">
        <v>50729</v>
      </c>
      <c r="B471" s="7" t="s">
        <v>9</v>
      </c>
      <c r="C471" s="7" t="s">
        <v>21</v>
      </c>
      <c r="G471" s="8"/>
    </row>
    <row r="472" spans="1:7" ht="15" x14ac:dyDescent="0.25">
      <c r="A472" s="6">
        <v>50764</v>
      </c>
      <c r="B472" s="7" t="s">
        <v>9</v>
      </c>
      <c r="C472" s="7" t="s">
        <v>18</v>
      </c>
    </row>
    <row r="473" spans="1:7" ht="15" x14ac:dyDescent="0.25">
      <c r="A473" s="4">
        <v>50771</v>
      </c>
      <c r="B473" s="5" t="s">
        <v>9</v>
      </c>
      <c r="C473" s="5" t="s">
        <v>4</v>
      </c>
    </row>
    <row r="474" spans="1:7" ht="15" x14ac:dyDescent="0.25">
      <c r="A474" s="4">
        <v>50822</v>
      </c>
      <c r="B474" s="5" t="s">
        <v>3</v>
      </c>
      <c r="C474" s="5" t="s">
        <v>5</v>
      </c>
    </row>
    <row r="475" spans="1:7" ht="15" x14ac:dyDescent="0.25">
      <c r="A475" s="4">
        <v>50823</v>
      </c>
      <c r="B475" s="5" t="s">
        <v>6</v>
      </c>
      <c r="C475" s="5" t="s">
        <v>5</v>
      </c>
    </row>
    <row r="476" spans="1:7" ht="15" x14ac:dyDescent="0.25">
      <c r="A476" s="4">
        <v>50868</v>
      </c>
      <c r="B476" s="5" t="s">
        <v>7</v>
      </c>
      <c r="C476" s="5" t="s">
        <v>8</v>
      </c>
    </row>
    <row r="477" spans="1:7" ht="15" x14ac:dyDescent="0.25">
      <c r="A477" s="4">
        <v>50881</v>
      </c>
      <c r="B477" s="5" t="s">
        <v>12</v>
      </c>
      <c r="C477" s="5" t="s">
        <v>10</v>
      </c>
    </row>
    <row r="478" spans="1:7" ht="15" x14ac:dyDescent="0.25">
      <c r="A478" s="4">
        <v>50891</v>
      </c>
      <c r="B478" s="5" t="s">
        <v>19</v>
      </c>
      <c r="C478" s="5" t="s">
        <v>11</v>
      </c>
    </row>
    <row r="479" spans="1:7" ht="15" x14ac:dyDescent="0.25">
      <c r="A479" s="4">
        <v>50930</v>
      </c>
      <c r="B479" s="5" t="s">
        <v>12</v>
      </c>
      <c r="C479" s="5" t="s">
        <v>13</v>
      </c>
    </row>
    <row r="480" spans="1:7" ht="15" x14ac:dyDescent="0.25">
      <c r="A480" s="4">
        <v>51020</v>
      </c>
      <c r="B480" s="5" t="s">
        <v>20</v>
      </c>
      <c r="C480" s="5" t="s">
        <v>14</v>
      </c>
    </row>
    <row r="481" spans="1:7" ht="15" x14ac:dyDescent="0.25">
      <c r="A481" s="4">
        <v>51055</v>
      </c>
      <c r="B481" s="5" t="s">
        <v>20</v>
      </c>
      <c r="C481" s="5" t="s">
        <v>15</v>
      </c>
    </row>
    <row r="482" spans="1:7" ht="15" x14ac:dyDescent="0.25">
      <c r="A482" s="4">
        <v>51076</v>
      </c>
      <c r="B482" s="5" t="s">
        <v>20</v>
      </c>
      <c r="C482" s="5" t="s">
        <v>16</v>
      </c>
    </row>
    <row r="483" spans="1:7" ht="15" x14ac:dyDescent="0.25">
      <c r="A483" s="4">
        <v>51089</v>
      </c>
      <c r="B483" s="5" t="s">
        <v>6</v>
      </c>
      <c r="C483" s="5" t="s">
        <v>17</v>
      </c>
    </row>
    <row r="484" spans="1:7" ht="15" x14ac:dyDescent="0.25">
      <c r="A484" s="4">
        <v>51094</v>
      </c>
      <c r="B484" s="5" t="s">
        <v>19</v>
      </c>
      <c r="C484" s="5" t="s">
        <v>21</v>
      </c>
      <c r="G484" s="8"/>
    </row>
    <row r="485" spans="1:7" ht="15" x14ac:dyDescent="0.25">
      <c r="A485" s="4">
        <v>51129</v>
      </c>
      <c r="B485" s="5" t="s">
        <v>19</v>
      </c>
      <c r="C485" s="5" t="s">
        <v>18</v>
      </c>
    </row>
    <row r="486" spans="1:7" ht="15" x14ac:dyDescent="0.25">
      <c r="A486" s="6">
        <v>51136</v>
      </c>
      <c r="B486" s="7" t="s">
        <v>19</v>
      </c>
      <c r="C486" s="7" t="s">
        <v>4</v>
      </c>
    </row>
    <row r="487" spans="1:7" ht="15" x14ac:dyDescent="0.25">
      <c r="A487" s="6">
        <v>51179</v>
      </c>
      <c r="B487" s="7" t="s">
        <v>3</v>
      </c>
      <c r="C487" s="7" t="s">
        <v>5</v>
      </c>
    </row>
    <row r="488" spans="1:7" ht="15" x14ac:dyDescent="0.25">
      <c r="A488" s="6">
        <v>51180</v>
      </c>
      <c r="B488" s="7" t="s">
        <v>6</v>
      </c>
      <c r="C488" s="7" t="s">
        <v>5</v>
      </c>
    </row>
    <row r="489" spans="1:7" ht="15" x14ac:dyDescent="0.25">
      <c r="A489" s="6">
        <v>51225</v>
      </c>
      <c r="B489" s="7" t="s">
        <v>7</v>
      </c>
      <c r="C489" s="7" t="s">
        <v>8</v>
      </c>
    </row>
    <row r="490" spans="1:7" ht="15" x14ac:dyDescent="0.25">
      <c r="A490" s="6">
        <v>51247</v>
      </c>
      <c r="B490" s="7" t="s">
        <v>9</v>
      </c>
      <c r="C490" s="7" t="s">
        <v>10</v>
      </c>
    </row>
    <row r="491" spans="1:7" ht="15" x14ac:dyDescent="0.25">
      <c r="A491" s="6">
        <v>51257</v>
      </c>
      <c r="B491" s="7" t="s">
        <v>6</v>
      </c>
      <c r="C491" s="7" t="s">
        <v>11</v>
      </c>
    </row>
    <row r="492" spans="1:7" ht="15" x14ac:dyDescent="0.25">
      <c r="A492" s="6">
        <v>51287</v>
      </c>
      <c r="B492" s="7" t="s">
        <v>12</v>
      </c>
      <c r="C492" s="7" t="s">
        <v>13</v>
      </c>
    </row>
    <row r="493" spans="1:7" ht="15" x14ac:dyDescent="0.25">
      <c r="A493" s="6">
        <v>51386</v>
      </c>
      <c r="B493" s="7" t="s">
        <v>7</v>
      </c>
      <c r="C493" s="7" t="s">
        <v>14</v>
      </c>
    </row>
    <row r="494" spans="1:7" ht="15" x14ac:dyDescent="0.25">
      <c r="A494" s="6">
        <v>51421</v>
      </c>
      <c r="B494" s="7" t="s">
        <v>7</v>
      </c>
      <c r="C494" s="7" t="s">
        <v>15</v>
      </c>
    </row>
    <row r="495" spans="1:7" ht="15" x14ac:dyDescent="0.25">
      <c r="A495" s="6">
        <v>51442</v>
      </c>
      <c r="B495" s="7" t="s">
        <v>7</v>
      </c>
      <c r="C495" s="7" t="s">
        <v>16</v>
      </c>
    </row>
    <row r="496" spans="1:7" ht="15" x14ac:dyDescent="0.25">
      <c r="A496" s="6">
        <v>51455</v>
      </c>
      <c r="B496" s="7" t="s">
        <v>12</v>
      </c>
      <c r="C496" s="7" t="s">
        <v>17</v>
      </c>
    </row>
    <row r="497" spans="1:7" ht="15" x14ac:dyDescent="0.25">
      <c r="A497" s="6">
        <v>51460</v>
      </c>
      <c r="B497" s="7" t="s">
        <v>6</v>
      </c>
      <c r="C497" s="7" t="s">
        <v>21</v>
      </c>
      <c r="G497" s="8"/>
    </row>
    <row r="498" spans="1:7" ht="15" x14ac:dyDescent="0.25">
      <c r="A498" s="6">
        <v>51495</v>
      </c>
      <c r="B498" s="7" t="s">
        <v>6</v>
      </c>
      <c r="C498" s="7" t="s">
        <v>18</v>
      </c>
    </row>
    <row r="499" spans="1:7" ht="15" x14ac:dyDescent="0.25">
      <c r="A499" s="4">
        <v>51502</v>
      </c>
      <c r="B499" s="5" t="s">
        <v>6</v>
      </c>
      <c r="C499" s="5" t="s">
        <v>4</v>
      </c>
    </row>
    <row r="500" spans="1:7" ht="15" x14ac:dyDescent="0.25">
      <c r="A500" s="4">
        <v>51564</v>
      </c>
      <c r="B500" s="5" t="s">
        <v>3</v>
      </c>
      <c r="C500" s="5" t="s">
        <v>5</v>
      </c>
    </row>
    <row r="501" spans="1:7" ht="15" x14ac:dyDescent="0.25">
      <c r="A501" s="4">
        <v>51565</v>
      </c>
      <c r="B501" s="5" t="s">
        <v>6</v>
      </c>
      <c r="C501" s="5" t="s">
        <v>5</v>
      </c>
    </row>
    <row r="502" spans="1:7" ht="15" x14ac:dyDescent="0.25">
      <c r="A502" s="4">
        <v>51610</v>
      </c>
      <c r="B502" s="5" t="s">
        <v>7</v>
      </c>
      <c r="C502" s="5" t="s">
        <v>8</v>
      </c>
    </row>
    <row r="503" spans="1:7" ht="15" x14ac:dyDescent="0.25">
      <c r="A503" s="4">
        <v>51612</v>
      </c>
      <c r="B503" s="5" t="s">
        <v>19</v>
      </c>
      <c r="C503" s="5" t="s">
        <v>10</v>
      </c>
    </row>
    <row r="504" spans="1:7" ht="15" x14ac:dyDescent="0.25">
      <c r="A504" s="4">
        <v>51622</v>
      </c>
      <c r="B504" s="5" t="s">
        <v>20</v>
      </c>
      <c r="C504" s="5" t="s">
        <v>11</v>
      </c>
    </row>
    <row r="505" spans="1:7" ht="15" x14ac:dyDescent="0.25">
      <c r="A505" s="4">
        <v>51672</v>
      </c>
      <c r="B505" s="5" t="s">
        <v>12</v>
      </c>
      <c r="C505" s="5" t="s">
        <v>13</v>
      </c>
    </row>
    <row r="506" spans="1:7" ht="15" x14ac:dyDescent="0.25">
      <c r="A506" s="4">
        <v>51751</v>
      </c>
      <c r="B506" s="5" t="s">
        <v>9</v>
      </c>
      <c r="C506" s="5" t="s">
        <v>14</v>
      </c>
    </row>
    <row r="507" spans="1:7" ht="15" x14ac:dyDescent="0.25">
      <c r="A507" s="4">
        <v>51786</v>
      </c>
      <c r="B507" s="5" t="s">
        <v>9</v>
      </c>
      <c r="C507" s="5" t="s">
        <v>15</v>
      </c>
    </row>
    <row r="508" spans="1:7" ht="15" x14ac:dyDescent="0.25">
      <c r="A508" s="4">
        <v>51807</v>
      </c>
      <c r="B508" s="5" t="s">
        <v>9</v>
      </c>
      <c r="C508" s="5" t="s">
        <v>16</v>
      </c>
    </row>
    <row r="509" spans="1:7" ht="15" x14ac:dyDescent="0.25">
      <c r="A509" s="4">
        <v>51820</v>
      </c>
      <c r="B509" s="5" t="s">
        <v>7</v>
      </c>
      <c r="C509" s="5" t="s">
        <v>17</v>
      </c>
    </row>
    <row r="510" spans="1:7" ht="15" x14ac:dyDescent="0.25">
      <c r="A510" s="4">
        <v>51825</v>
      </c>
      <c r="B510" s="5" t="s">
        <v>20</v>
      </c>
      <c r="C510" s="5" t="s">
        <v>21</v>
      </c>
      <c r="G510" s="8"/>
    </row>
    <row r="511" spans="1:7" ht="15" x14ac:dyDescent="0.25">
      <c r="A511" s="4">
        <v>51860</v>
      </c>
      <c r="B511" s="5" t="s">
        <v>20</v>
      </c>
      <c r="C511" s="5" t="s">
        <v>18</v>
      </c>
    </row>
    <row r="512" spans="1:7" ht="15" x14ac:dyDescent="0.25">
      <c r="A512" s="6">
        <v>51867</v>
      </c>
      <c r="B512" s="7" t="s">
        <v>20</v>
      </c>
      <c r="C512" s="7" t="s">
        <v>4</v>
      </c>
    </row>
    <row r="513" spans="1:7" ht="15" x14ac:dyDescent="0.25">
      <c r="A513" s="6">
        <v>51914</v>
      </c>
      <c r="B513" s="7" t="s">
        <v>3</v>
      </c>
      <c r="C513" s="7" t="s">
        <v>5</v>
      </c>
    </row>
    <row r="514" spans="1:7" ht="15" x14ac:dyDescent="0.25">
      <c r="A514" s="6">
        <v>51915</v>
      </c>
      <c r="B514" s="7" t="s">
        <v>6</v>
      </c>
      <c r="C514" s="7" t="s">
        <v>5</v>
      </c>
    </row>
    <row r="515" spans="1:7" ht="15" x14ac:dyDescent="0.25">
      <c r="A515" s="6">
        <v>51960</v>
      </c>
      <c r="B515" s="7" t="s">
        <v>7</v>
      </c>
      <c r="C515" s="7" t="s">
        <v>8</v>
      </c>
    </row>
    <row r="516" spans="1:7" ht="15" x14ac:dyDescent="0.25">
      <c r="A516" s="6">
        <v>51977</v>
      </c>
      <c r="B516" s="7" t="s">
        <v>3</v>
      </c>
      <c r="C516" s="7" t="s">
        <v>10</v>
      </c>
    </row>
    <row r="517" spans="1:7" ht="15" x14ac:dyDescent="0.25">
      <c r="A517" s="6">
        <v>51987</v>
      </c>
      <c r="B517" s="7" t="s">
        <v>12</v>
      </c>
      <c r="C517" s="7" t="s">
        <v>11</v>
      </c>
    </row>
    <row r="518" spans="1:7" ht="15" x14ac:dyDescent="0.25">
      <c r="A518" s="6">
        <v>52022</v>
      </c>
      <c r="B518" s="7" t="s">
        <v>12</v>
      </c>
      <c r="C518" s="7" t="s">
        <v>13</v>
      </c>
    </row>
    <row r="519" spans="1:7" ht="15" x14ac:dyDescent="0.25">
      <c r="A519" s="6">
        <v>52116</v>
      </c>
      <c r="B519" s="7" t="s">
        <v>19</v>
      </c>
      <c r="C519" s="7" t="s">
        <v>14</v>
      </c>
    </row>
    <row r="520" spans="1:7" ht="15" x14ac:dyDescent="0.25">
      <c r="A520" s="6">
        <v>52151</v>
      </c>
      <c r="B520" s="7" t="s">
        <v>19</v>
      </c>
      <c r="C520" s="7" t="s">
        <v>15</v>
      </c>
    </row>
    <row r="521" spans="1:7" ht="15" x14ac:dyDescent="0.25">
      <c r="A521" s="6">
        <v>52172</v>
      </c>
      <c r="B521" s="7" t="s">
        <v>19</v>
      </c>
      <c r="C521" s="7" t="s">
        <v>16</v>
      </c>
    </row>
    <row r="522" spans="1:7" ht="15" x14ac:dyDescent="0.25">
      <c r="A522" s="6">
        <v>52185</v>
      </c>
      <c r="B522" s="7" t="s">
        <v>9</v>
      </c>
      <c r="C522" s="7" t="s">
        <v>17</v>
      </c>
    </row>
    <row r="523" spans="1:7" ht="15" x14ac:dyDescent="0.25">
      <c r="A523" s="6">
        <v>52190</v>
      </c>
      <c r="B523" s="7" t="s">
        <v>12</v>
      </c>
      <c r="C523" s="7" t="s">
        <v>21</v>
      </c>
      <c r="G523" s="8"/>
    </row>
    <row r="524" spans="1:7" ht="15" x14ac:dyDescent="0.25">
      <c r="A524" s="6">
        <v>52225</v>
      </c>
      <c r="B524" s="7" t="s">
        <v>12</v>
      </c>
      <c r="C524" s="7" t="s">
        <v>18</v>
      </c>
    </row>
    <row r="525" spans="1:7" ht="15" x14ac:dyDescent="0.25">
      <c r="A525" s="4">
        <v>52232</v>
      </c>
      <c r="B525" s="5" t="s">
        <v>12</v>
      </c>
      <c r="C525" s="5" t="s">
        <v>4</v>
      </c>
    </row>
    <row r="526" spans="1:7" ht="15" x14ac:dyDescent="0.25">
      <c r="A526" s="4">
        <v>52271</v>
      </c>
      <c r="B526" s="5" t="s">
        <v>3</v>
      </c>
      <c r="C526" s="5" t="s">
        <v>5</v>
      </c>
    </row>
    <row r="527" spans="1:7" ht="15" x14ac:dyDescent="0.25">
      <c r="A527" s="4">
        <v>52272</v>
      </c>
      <c r="B527" s="5" t="s">
        <v>6</v>
      </c>
      <c r="C527" s="5" t="s">
        <v>5</v>
      </c>
    </row>
    <row r="528" spans="1:7" ht="15" x14ac:dyDescent="0.25">
      <c r="A528" s="4">
        <v>52317</v>
      </c>
      <c r="B528" s="5" t="s">
        <v>7</v>
      </c>
      <c r="C528" s="5" t="s">
        <v>8</v>
      </c>
    </row>
    <row r="529" spans="1:7" ht="15" x14ac:dyDescent="0.25">
      <c r="A529" s="4">
        <v>52342</v>
      </c>
      <c r="B529" s="5" t="s">
        <v>6</v>
      </c>
      <c r="C529" s="5" t="s">
        <v>10</v>
      </c>
    </row>
    <row r="530" spans="1:7" ht="15" x14ac:dyDescent="0.25">
      <c r="A530" s="4">
        <v>52352</v>
      </c>
      <c r="B530" s="5" t="s">
        <v>7</v>
      </c>
      <c r="C530" s="5" t="s">
        <v>11</v>
      </c>
    </row>
    <row r="531" spans="1:7" ht="15" x14ac:dyDescent="0.25">
      <c r="A531" s="4">
        <v>52379</v>
      </c>
      <c r="B531" s="5" t="s">
        <v>12</v>
      </c>
      <c r="C531" s="5" t="s">
        <v>13</v>
      </c>
    </row>
    <row r="532" spans="1:7" ht="15" x14ac:dyDescent="0.25">
      <c r="A532" s="4">
        <v>52481</v>
      </c>
      <c r="B532" s="5" t="s">
        <v>3</v>
      </c>
      <c r="C532" s="5" t="s">
        <v>14</v>
      </c>
    </row>
    <row r="533" spans="1:7" ht="15" x14ac:dyDescent="0.25">
      <c r="A533" s="4">
        <v>52516</v>
      </c>
      <c r="B533" s="5" t="s">
        <v>3</v>
      </c>
      <c r="C533" s="5" t="s">
        <v>15</v>
      </c>
    </row>
    <row r="534" spans="1:7" ht="15" x14ac:dyDescent="0.25">
      <c r="A534" s="4">
        <v>52537</v>
      </c>
      <c r="B534" s="5" t="s">
        <v>3</v>
      </c>
      <c r="C534" s="5" t="s">
        <v>16</v>
      </c>
    </row>
    <row r="535" spans="1:7" ht="15" x14ac:dyDescent="0.25">
      <c r="A535" s="4">
        <v>52550</v>
      </c>
      <c r="B535" s="5" t="s">
        <v>19</v>
      </c>
      <c r="C535" s="5" t="s">
        <v>17</v>
      </c>
    </row>
    <row r="536" spans="1:7" ht="15" x14ac:dyDescent="0.25">
      <c r="A536" s="4">
        <v>52555</v>
      </c>
      <c r="B536" s="5" t="s">
        <v>7</v>
      </c>
      <c r="C536" s="5" t="s">
        <v>21</v>
      </c>
      <c r="G536" s="8"/>
    </row>
    <row r="537" spans="1:7" ht="15" x14ac:dyDescent="0.25">
      <c r="A537" s="4">
        <v>52590</v>
      </c>
      <c r="B537" s="5" t="s">
        <v>7</v>
      </c>
      <c r="C537" s="5" t="s">
        <v>18</v>
      </c>
    </row>
    <row r="538" spans="1:7" ht="15" x14ac:dyDescent="0.25">
      <c r="A538" s="6">
        <v>52597</v>
      </c>
      <c r="B538" s="7" t="s">
        <v>7</v>
      </c>
      <c r="C538" s="7" t="s">
        <v>4</v>
      </c>
    </row>
    <row r="539" spans="1:7" ht="15" x14ac:dyDescent="0.25">
      <c r="A539" s="6">
        <v>52656</v>
      </c>
      <c r="B539" s="7" t="s">
        <v>3</v>
      </c>
      <c r="C539" s="7" t="s">
        <v>5</v>
      </c>
    </row>
    <row r="540" spans="1:7" ht="15" x14ac:dyDescent="0.25">
      <c r="A540" s="6">
        <v>52657</v>
      </c>
      <c r="B540" s="7" t="s">
        <v>6</v>
      </c>
      <c r="C540" s="7" t="s">
        <v>5</v>
      </c>
    </row>
    <row r="541" spans="1:7" ht="15" x14ac:dyDescent="0.25">
      <c r="A541" s="6">
        <v>52702</v>
      </c>
      <c r="B541" s="7" t="s">
        <v>7</v>
      </c>
      <c r="C541" s="7" t="s">
        <v>8</v>
      </c>
    </row>
    <row r="542" spans="1:7" ht="15" x14ac:dyDescent="0.25">
      <c r="A542" s="6">
        <v>52708</v>
      </c>
      <c r="B542" s="7" t="s">
        <v>12</v>
      </c>
      <c r="C542" s="7" t="s">
        <v>10</v>
      </c>
    </row>
    <row r="543" spans="1:7" ht="15" x14ac:dyDescent="0.25">
      <c r="A543" s="6">
        <v>52718</v>
      </c>
      <c r="B543" s="7" t="s">
        <v>19</v>
      </c>
      <c r="C543" s="7" t="s">
        <v>11</v>
      </c>
    </row>
    <row r="544" spans="1:7" ht="15" x14ac:dyDescent="0.25">
      <c r="A544" s="6">
        <v>52764</v>
      </c>
      <c r="B544" s="7" t="s">
        <v>12</v>
      </c>
      <c r="C544" s="7" t="s">
        <v>13</v>
      </c>
    </row>
    <row r="545" spans="1:7" ht="15" x14ac:dyDescent="0.25">
      <c r="A545" s="6">
        <v>52847</v>
      </c>
      <c r="B545" s="7" t="s">
        <v>20</v>
      </c>
      <c r="C545" s="7" t="s">
        <v>14</v>
      </c>
    </row>
    <row r="546" spans="1:7" ht="15" x14ac:dyDescent="0.25">
      <c r="A546" s="6">
        <v>52882</v>
      </c>
      <c r="B546" s="7" t="s">
        <v>20</v>
      </c>
      <c r="C546" s="7" t="s">
        <v>15</v>
      </c>
    </row>
    <row r="547" spans="1:7" ht="15" x14ac:dyDescent="0.25">
      <c r="A547" s="6">
        <v>52903</v>
      </c>
      <c r="B547" s="7" t="s">
        <v>20</v>
      </c>
      <c r="C547" s="7" t="s">
        <v>16</v>
      </c>
    </row>
    <row r="548" spans="1:7" ht="15" x14ac:dyDescent="0.25">
      <c r="A548" s="6">
        <v>52916</v>
      </c>
      <c r="B548" s="7" t="s">
        <v>6</v>
      </c>
      <c r="C548" s="7" t="s">
        <v>17</v>
      </c>
    </row>
    <row r="549" spans="1:7" ht="15" x14ac:dyDescent="0.25">
      <c r="A549" s="6">
        <v>52921</v>
      </c>
      <c r="B549" s="7" t="s">
        <v>19</v>
      </c>
      <c r="C549" s="7" t="s">
        <v>21</v>
      </c>
      <c r="G549" s="8"/>
    </row>
    <row r="550" spans="1:7" ht="15" x14ac:dyDescent="0.25">
      <c r="A550" s="6">
        <v>52956</v>
      </c>
      <c r="B550" s="7" t="s">
        <v>19</v>
      </c>
      <c r="C550" s="7" t="s">
        <v>18</v>
      </c>
    </row>
    <row r="551" spans="1:7" ht="15" x14ac:dyDescent="0.25">
      <c r="A551" s="4">
        <v>52963</v>
      </c>
      <c r="B551" s="5" t="s">
        <v>19</v>
      </c>
      <c r="C551" s="5" t="s">
        <v>4</v>
      </c>
    </row>
    <row r="552" spans="1:7" ht="15" x14ac:dyDescent="0.25">
      <c r="A552" s="4">
        <v>53013</v>
      </c>
      <c r="B552" s="5" t="s">
        <v>3</v>
      </c>
      <c r="C552" s="5" t="s">
        <v>5</v>
      </c>
    </row>
    <row r="553" spans="1:7" ht="15" x14ac:dyDescent="0.25">
      <c r="A553" s="4">
        <v>53014</v>
      </c>
      <c r="B553" s="5" t="s">
        <v>6</v>
      </c>
      <c r="C553" s="5" t="s">
        <v>5</v>
      </c>
    </row>
    <row r="554" spans="1:7" ht="15" x14ac:dyDescent="0.25">
      <c r="A554" s="4">
        <v>53059</v>
      </c>
      <c r="B554" s="5" t="s">
        <v>7</v>
      </c>
      <c r="C554" s="5" t="s">
        <v>8</v>
      </c>
    </row>
    <row r="555" spans="1:7" ht="15" x14ac:dyDescent="0.25">
      <c r="A555" s="4">
        <v>53073</v>
      </c>
      <c r="B555" s="5" t="s">
        <v>7</v>
      </c>
      <c r="C555" s="5" t="s">
        <v>10</v>
      </c>
    </row>
    <row r="556" spans="1:7" ht="15" x14ac:dyDescent="0.25">
      <c r="A556" s="4">
        <v>53083</v>
      </c>
      <c r="B556" s="5" t="s">
        <v>3</v>
      </c>
      <c r="C556" s="5" t="s">
        <v>11</v>
      </c>
    </row>
    <row r="557" spans="1:7" ht="15" x14ac:dyDescent="0.25">
      <c r="A557" s="4">
        <v>53121</v>
      </c>
      <c r="B557" s="5" t="s">
        <v>12</v>
      </c>
      <c r="C557" s="5" t="s">
        <v>13</v>
      </c>
    </row>
    <row r="558" spans="1:7" ht="15" x14ac:dyDescent="0.25">
      <c r="A558" s="4">
        <v>53212</v>
      </c>
      <c r="B558" s="5" t="s">
        <v>12</v>
      </c>
      <c r="C558" s="5" t="s">
        <v>14</v>
      </c>
    </row>
    <row r="559" spans="1:7" ht="15" x14ac:dyDescent="0.25">
      <c r="A559" s="4">
        <v>53247</v>
      </c>
      <c r="B559" s="5" t="s">
        <v>12</v>
      </c>
      <c r="C559" s="5" t="s">
        <v>15</v>
      </c>
    </row>
    <row r="560" spans="1:7" ht="15" x14ac:dyDescent="0.25">
      <c r="A560" s="4">
        <v>53268</v>
      </c>
      <c r="B560" s="5" t="s">
        <v>12</v>
      </c>
      <c r="C560" s="5" t="s">
        <v>16</v>
      </c>
    </row>
    <row r="561" spans="1:7" ht="15" x14ac:dyDescent="0.25">
      <c r="A561" s="4">
        <v>53281</v>
      </c>
      <c r="B561" s="5" t="s">
        <v>20</v>
      </c>
      <c r="C561" s="5" t="s">
        <v>17</v>
      </c>
    </row>
    <row r="562" spans="1:7" ht="15" x14ac:dyDescent="0.25">
      <c r="A562" s="4">
        <v>53286</v>
      </c>
      <c r="B562" s="5" t="s">
        <v>3</v>
      </c>
      <c r="C562" s="5" t="s">
        <v>21</v>
      </c>
      <c r="G562" s="8"/>
    </row>
    <row r="563" spans="1:7" ht="15" x14ac:dyDescent="0.25">
      <c r="A563" s="4">
        <v>53321</v>
      </c>
      <c r="B563" s="5" t="s">
        <v>3</v>
      </c>
      <c r="C563" s="5" t="s">
        <v>18</v>
      </c>
    </row>
    <row r="564" spans="1:7" ht="15" x14ac:dyDescent="0.25">
      <c r="A564" s="6">
        <v>53328</v>
      </c>
      <c r="B564" s="7" t="s">
        <v>3</v>
      </c>
      <c r="C564" s="7" t="s">
        <v>4</v>
      </c>
    </row>
    <row r="565" spans="1:7" ht="15" x14ac:dyDescent="0.25">
      <c r="A565" s="6">
        <v>53363</v>
      </c>
      <c r="B565" s="7" t="s">
        <v>3</v>
      </c>
      <c r="C565" s="7" t="s">
        <v>5</v>
      </c>
    </row>
    <row r="566" spans="1:7" ht="15" x14ac:dyDescent="0.25">
      <c r="A566" s="6">
        <v>53364</v>
      </c>
      <c r="B566" s="7" t="s">
        <v>6</v>
      </c>
      <c r="C566" s="7" t="s">
        <v>5</v>
      </c>
    </row>
    <row r="567" spans="1:7" ht="15" x14ac:dyDescent="0.25">
      <c r="A567" s="6">
        <v>53409</v>
      </c>
      <c r="B567" s="7" t="s">
        <v>7</v>
      </c>
      <c r="C567" s="7" t="s">
        <v>8</v>
      </c>
    </row>
    <row r="568" spans="1:7" ht="15" x14ac:dyDescent="0.25">
      <c r="A568" s="6">
        <v>53438</v>
      </c>
      <c r="B568" s="7" t="s">
        <v>9</v>
      </c>
      <c r="C568" s="7" t="s">
        <v>10</v>
      </c>
    </row>
    <row r="569" spans="1:7" ht="15" x14ac:dyDescent="0.25">
      <c r="A569" s="6">
        <v>53448</v>
      </c>
      <c r="B569" s="7" t="s">
        <v>6</v>
      </c>
      <c r="C569" s="7" t="s">
        <v>11</v>
      </c>
    </row>
    <row r="570" spans="1:7" ht="15" x14ac:dyDescent="0.25">
      <c r="A570" s="6">
        <v>53471</v>
      </c>
      <c r="B570" s="7" t="s">
        <v>12</v>
      </c>
      <c r="C570" s="7" t="s">
        <v>13</v>
      </c>
    </row>
    <row r="571" spans="1:7" ht="15" x14ac:dyDescent="0.25">
      <c r="A571" s="6">
        <v>53577</v>
      </c>
      <c r="B571" s="7" t="s">
        <v>7</v>
      </c>
      <c r="C571" s="7" t="s">
        <v>14</v>
      </c>
    </row>
    <row r="572" spans="1:7" ht="15" x14ac:dyDescent="0.25">
      <c r="A572" s="6">
        <v>53612</v>
      </c>
      <c r="B572" s="7" t="s">
        <v>7</v>
      </c>
      <c r="C572" s="7" t="s">
        <v>15</v>
      </c>
    </row>
    <row r="573" spans="1:7" ht="15" x14ac:dyDescent="0.25">
      <c r="A573" s="6">
        <v>53633</v>
      </c>
      <c r="B573" s="7" t="s">
        <v>7</v>
      </c>
      <c r="C573" s="7" t="s">
        <v>16</v>
      </c>
    </row>
    <row r="574" spans="1:7" ht="15" x14ac:dyDescent="0.25">
      <c r="A574" s="6">
        <v>53646</v>
      </c>
      <c r="B574" s="7" t="s">
        <v>12</v>
      </c>
      <c r="C574" s="7" t="s">
        <v>17</v>
      </c>
    </row>
    <row r="575" spans="1:7" ht="15" x14ac:dyDescent="0.25">
      <c r="A575" s="6">
        <v>53651</v>
      </c>
      <c r="B575" s="7" t="s">
        <v>6</v>
      </c>
      <c r="C575" s="7" t="s">
        <v>21</v>
      </c>
      <c r="G575" s="8"/>
    </row>
    <row r="576" spans="1:7" ht="15" x14ac:dyDescent="0.25">
      <c r="A576" s="6">
        <v>53686</v>
      </c>
      <c r="B576" s="7" t="s">
        <v>6</v>
      </c>
      <c r="C576" s="7" t="s">
        <v>18</v>
      </c>
    </row>
    <row r="577" spans="1:7" ht="15" x14ac:dyDescent="0.25">
      <c r="A577" s="4">
        <v>53693</v>
      </c>
      <c r="B577" s="5" t="s">
        <v>6</v>
      </c>
      <c r="C577" s="5" t="s">
        <v>4</v>
      </c>
    </row>
    <row r="578" spans="1:7" ht="15" x14ac:dyDescent="0.25">
      <c r="A578" s="4">
        <v>53748</v>
      </c>
      <c r="B578" s="5" t="s">
        <v>3</v>
      </c>
      <c r="C578" s="5" t="s">
        <v>5</v>
      </c>
    </row>
    <row r="579" spans="1:7" ht="15" x14ac:dyDescent="0.25">
      <c r="A579" s="4">
        <v>53749</v>
      </c>
      <c r="B579" s="5" t="s">
        <v>6</v>
      </c>
      <c r="C579" s="5" t="s">
        <v>5</v>
      </c>
    </row>
    <row r="580" spans="1:7" ht="15" x14ac:dyDescent="0.25">
      <c r="A580" s="4">
        <v>53794</v>
      </c>
      <c r="B580" s="5" t="s">
        <v>7</v>
      </c>
      <c r="C580" s="5" t="s">
        <v>8</v>
      </c>
    </row>
    <row r="581" spans="1:7" ht="15" x14ac:dyDescent="0.25">
      <c r="A581" s="4">
        <v>53803</v>
      </c>
      <c r="B581" s="5" t="s">
        <v>19</v>
      </c>
      <c r="C581" s="5" t="s">
        <v>10</v>
      </c>
    </row>
    <row r="582" spans="1:7" ht="15" x14ac:dyDescent="0.25">
      <c r="A582" s="4">
        <v>53813</v>
      </c>
      <c r="B582" s="5" t="s">
        <v>20</v>
      </c>
      <c r="C582" s="5" t="s">
        <v>11</v>
      </c>
    </row>
    <row r="583" spans="1:7" ht="15" x14ac:dyDescent="0.25">
      <c r="A583" s="4">
        <v>53856</v>
      </c>
      <c r="B583" s="5" t="s">
        <v>12</v>
      </c>
      <c r="C583" s="5" t="s">
        <v>13</v>
      </c>
    </row>
    <row r="584" spans="1:7" ht="15" x14ac:dyDescent="0.25">
      <c r="A584" s="4">
        <v>53942</v>
      </c>
      <c r="B584" s="5" t="s">
        <v>9</v>
      </c>
      <c r="C584" s="5" t="s">
        <v>14</v>
      </c>
    </row>
    <row r="585" spans="1:7" ht="15" x14ac:dyDescent="0.25">
      <c r="A585" s="4">
        <v>53977</v>
      </c>
      <c r="B585" s="5" t="s">
        <v>9</v>
      </c>
      <c r="C585" s="5" t="s">
        <v>15</v>
      </c>
    </row>
    <row r="586" spans="1:7" ht="15" x14ac:dyDescent="0.25">
      <c r="A586" s="4">
        <v>53998</v>
      </c>
      <c r="B586" s="5" t="s">
        <v>9</v>
      </c>
      <c r="C586" s="5" t="s">
        <v>16</v>
      </c>
    </row>
    <row r="587" spans="1:7" ht="15" x14ac:dyDescent="0.25">
      <c r="A587" s="4">
        <v>54011</v>
      </c>
      <c r="B587" s="5" t="s">
        <v>7</v>
      </c>
      <c r="C587" s="5" t="s">
        <v>17</v>
      </c>
    </row>
    <row r="588" spans="1:7" ht="15" x14ac:dyDescent="0.25">
      <c r="A588" s="4">
        <v>54016</v>
      </c>
      <c r="B588" s="5" t="s">
        <v>20</v>
      </c>
      <c r="C588" s="5" t="s">
        <v>21</v>
      </c>
      <c r="G588" s="8"/>
    </row>
    <row r="589" spans="1:7" ht="15" x14ac:dyDescent="0.25">
      <c r="A589" s="4">
        <v>54051</v>
      </c>
      <c r="B589" s="5" t="s">
        <v>20</v>
      </c>
      <c r="C589" s="5" t="s">
        <v>18</v>
      </c>
    </row>
    <row r="590" spans="1:7" ht="15" x14ac:dyDescent="0.25">
      <c r="A590" s="6">
        <v>54058</v>
      </c>
      <c r="B590" s="7" t="s">
        <v>20</v>
      </c>
      <c r="C590" s="7" t="s">
        <v>4</v>
      </c>
    </row>
    <row r="591" spans="1:7" ht="15" x14ac:dyDescent="0.25">
      <c r="A591" s="6">
        <v>54105</v>
      </c>
      <c r="B591" s="7" t="s">
        <v>3</v>
      </c>
      <c r="C591" s="7" t="s">
        <v>5</v>
      </c>
    </row>
    <row r="592" spans="1:7" ht="15" x14ac:dyDescent="0.25">
      <c r="A592" s="6">
        <v>54106</v>
      </c>
      <c r="B592" s="7" t="s">
        <v>6</v>
      </c>
      <c r="C592" s="7" t="s">
        <v>5</v>
      </c>
    </row>
    <row r="593" spans="1:7" ht="15" x14ac:dyDescent="0.25">
      <c r="A593" s="6">
        <v>54151</v>
      </c>
      <c r="B593" s="7" t="s">
        <v>7</v>
      </c>
      <c r="C593" s="7" t="s">
        <v>8</v>
      </c>
    </row>
    <row r="594" spans="1:7" ht="15" x14ac:dyDescent="0.25">
      <c r="A594" s="6">
        <v>54169</v>
      </c>
      <c r="B594" s="7" t="s">
        <v>6</v>
      </c>
      <c r="C594" s="7" t="s">
        <v>10</v>
      </c>
    </row>
    <row r="595" spans="1:7" ht="15" x14ac:dyDescent="0.25">
      <c r="A595" s="6">
        <v>54179</v>
      </c>
      <c r="B595" s="7" t="s">
        <v>7</v>
      </c>
      <c r="C595" s="7" t="s">
        <v>11</v>
      </c>
    </row>
    <row r="596" spans="1:7" ht="15" x14ac:dyDescent="0.25">
      <c r="A596" s="6">
        <v>54213</v>
      </c>
      <c r="B596" s="7" t="s">
        <v>12</v>
      </c>
      <c r="C596" s="7" t="s">
        <v>13</v>
      </c>
    </row>
    <row r="597" spans="1:7" ht="15" x14ac:dyDescent="0.25">
      <c r="A597" s="6">
        <v>54308</v>
      </c>
      <c r="B597" s="7" t="s">
        <v>3</v>
      </c>
      <c r="C597" s="7" t="s">
        <v>14</v>
      </c>
    </row>
    <row r="598" spans="1:7" ht="15" x14ac:dyDescent="0.25">
      <c r="A598" s="6">
        <v>54343</v>
      </c>
      <c r="B598" s="7" t="s">
        <v>3</v>
      </c>
      <c r="C598" s="7" t="s">
        <v>15</v>
      </c>
    </row>
    <row r="599" spans="1:7" ht="15" x14ac:dyDescent="0.25">
      <c r="A599" s="6">
        <v>54364</v>
      </c>
      <c r="B599" s="7" t="s">
        <v>3</v>
      </c>
      <c r="C599" s="7" t="s">
        <v>16</v>
      </c>
    </row>
    <row r="600" spans="1:7" ht="15" x14ac:dyDescent="0.25">
      <c r="A600" s="6">
        <v>54377</v>
      </c>
      <c r="B600" s="7" t="s">
        <v>19</v>
      </c>
      <c r="C600" s="7" t="s">
        <v>17</v>
      </c>
    </row>
    <row r="601" spans="1:7" ht="15" x14ac:dyDescent="0.25">
      <c r="A601" s="6">
        <v>54382</v>
      </c>
      <c r="B601" s="7" t="s">
        <v>7</v>
      </c>
      <c r="C601" s="7" t="s">
        <v>21</v>
      </c>
      <c r="G601" s="8"/>
    </row>
    <row r="602" spans="1:7" ht="15" x14ac:dyDescent="0.25">
      <c r="A602" s="6">
        <v>54417</v>
      </c>
      <c r="B602" s="7" t="s">
        <v>7</v>
      </c>
      <c r="C602" s="7" t="s">
        <v>18</v>
      </c>
    </row>
    <row r="603" spans="1:7" ht="15" x14ac:dyDescent="0.25">
      <c r="A603" s="4">
        <v>54424</v>
      </c>
      <c r="B603" s="5" t="s">
        <v>7</v>
      </c>
      <c r="C603" s="5" t="s">
        <v>4</v>
      </c>
    </row>
    <row r="604" spans="1:7" ht="15" x14ac:dyDescent="0.25">
      <c r="A604" s="4">
        <v>54483</v>
      </c>
      <c r="B604" s="5" t="s">
        <v>3</v>
      </c>
      <c r="C604" s="5" t="s">
        <v>5</v>
      </c>
    </row>
    <row r="605" spans="1:7" ht="15" x14ac:dyDescent="0.25">
      <c r="A605" s="4">
        <v>54484</v>
      </c>
      <c r="B605" s="5" t="s">
        <v>6</v>
      </c>
      <c r="C605" s="5" t="s">
        <v>5</v>
      </c>
    </row>
    <row r="606" spans="1:7" ht="15" x14ac:dyDescent="0.25">
      <c r="A606" s="4">
        <v>54529</v>
      </c>
      <c r="B606" s="5" t="s">
        <v>7</v>
      </c>
      <c r="C606" s="5" t="s">
        <v>8</v>
      </c>
    </row>
    <row r="607" spans="1:7" ht="15" x14ac:dyDescent="0.25">
      <c r="A607" s="4">
        <v>54534</v>
      </c>
      <c r="B607" s="5" t="s">
        <v>20</v>
      </c>
      <c r="C607" s="5" t="s">
        <v>10</v>
      </c>
    </row>
    <row r="608" spans="1:7" ht="15" x14ac:dyDescent="0.25">
      <c r="A608" s="4">
        <v>54544</v>
      </c>
      <c r="B608" s="5" t="s">
        <v>9</v>
      </c>
      <c r="C608" s="5" t="s">
        <v>11</v>
      </c>
    </row>
    <row r="609" spans="1:7" ht="15" x14ac:dyDescent="0.25">
      <c r="A609" s="4">
        <v>54591</v>
      </c>
      <c r="B609" s="5" t="s">
        <v>12</v>
      </c>
      <c r="C609" s="5" t="s">
        <v>13</v>
      </c>
    </row>
    <row r="610" spans="1:7" ht="15" x14ac:dyDescent="0.25">
      <c r="A610" s="4">
        <v>54673</v>
      </c>
      <c r="B610" s="5" t="s">
        <v>6</v>
      </c>
      <c r="C610" s="5" t="s">
        <v>14</v>
      </c>
    </row>
    <row r="611" spans="1:7" ht="15" x14ac:dyDescent="0.25">
      <c r="A611" s="4">
        <v>54708</v>
      </c>
      <c r="B611" s="5" t="s">
        <v>6</v>
      </c>
      <c r="C611" s="5" t="s">
        <v>15</v>
      </c>
    </row>
    <row r="612" spans="1:7" ht="15" x14ac:dyDescent="0.25">
      <c r="A612" s="4">
        <v>54729</v>
      </c>
      <c r="B612" s="5" t="s">
        <v>6</v>
      </c>
      <c r="C612" s="5" t="s">
        <v>16</v>
      </c>
    </row>
    <row r="613" spans="1:7" ht="15" x14ac:dyDescent="0.25">
      <c r="A613" s="4">
        <v>54742</v>
      </c>
      <c r="B613" s="5" t="s">
        <v>3</v>
      </c>
      <c r="C613" s="5" t="s">
        <v>17</v>
      </c>
    </row>
    <row r="614" spans="1:7" ht="15" x14ac:dyDescent="0.25">
      <c r="A614" s="4">
        <v>54747</v>
      </c>
      <c r="B614" s="5" t="s">
        <v>9</v>
      </c>
      <c r="C614" s="5" t="s">
        <v>21</v>
      </c>
      <c r="G614" s="8"/>
    </row>
    <row r="615" spans="1:7" ht="15" x14ac:dyDescent="0.25">
      <c r="A615" s="4">
        <v>54782</v>
      </c>
      <c r="B615" s="5" t="s">
        <v>9</v>
      </c>
      <c r="C615" s="5" t="s">
        <v>18</v>
      </c>
    </row>
    <row r="616" spans="1:7" ht="15" x14ac:dyDescent="0.25">
      <c r="A616" s="6">
        <v>54789</v>
      </c>
      <c r="B616" s="7" t="s">
        <v>9</v>
      </c>
      <c r="C616" s="7" t="s">
        <v>4</v>
      </c>
    </row>
    <row r="617" spans="1:7" ht="15" x14ac:dyDescent="0.25">
      <c r="A617" s="6">
        <v>54840</v>
      </c>
      <c r="B617" s="7" t="s">
        <v>3</v>
      </c>
      <c r="C617" s="7" t="s">
        <v>5</v>
      </c>
    </row>
    <row r="618" spans="1:7" ht="15" x14ac:dyDescent="0.25">
      <c r="A618" s="6">
        <v>54841</v>
      </c>
      <c r="B618" s="7" t="s">
        <v>6</v>
      </c>
      <c r="C618" s="7" t="s">
        <v>5</v>
      </c>
    </row>
    <row r="619" spans="1:7" ht="15" x14ac:dyDescent="0.25">
      <c r="A619" s="6">
        <v>54886</v>
      </c>
      <c r="B619" s="7" t="s">
        <v>7</v>
      </c>
      <c r="C619" s="7" t="s">
        <v>8</v>
      </c>
    </row>
    <row r="620" spans="1:7" ht="15" x14ac:dyDescent="0.25">
      <c r="A620" s="6">
        <v>54899</v>
      </c>
      <c r="B620" s="7" t="s">
        <v>12</v>
      </c>
      <c r="C620" s="7" t="s">
        <v>10</v>
      </c>
    </row>
    <row r="621" spans="1:7" ht="15" x14ac:dyDescent="0.25">
      <c r="A621" s="6">
        <v>54909</v>
      </c>
      <c r="B621" s="7" t="s">
        <v>19</v>
      </c>
      <c r="C621" s="7" t="s">
        <v>11</v>
      </c>
    </row>
    <row r="622" spans="1:7" ht="15" x14ac:dyDescent="0.25">
      <c r="A622" s="6">
        <v>54948</v>
      </c>
      <c r="B622" s="7" t="s">
        <v>12</v>
      </c>
      <c r="C622" s="7" t="s">
        <v>13</v>
      </c>
    </row>
    <row r="623" spans="1:7" ht="15" x14ac:dyDescent="0.25">
      <c r="A623" s="6">
        <v>55038</v>
      </c>
      <c r="B623" s="7" t="s">
        <v>20</v>
      </c>
      <c r="C623" s="7" t="s">
        <v>14</v>
      </c>
    </row>
    <row r="624" spans="1:7" ht="15" x14ac:dyDescent="0.25">
      <c r="A624" s="6">
        <v>55073</v>
      </c>
      <c r="B624" s="7" t="s">
        <v>20</v>
      </c>
      <c r="C624" s="7" t="s">
        <v>15</v>
      </c>
    </row>
    <row r="625" spans="1:7" ht="15" x14ac:dyDescent="0.25">
      <c r="A625" s="6">
        <v>55094</v>
      </c>
      <c r="B625" s="7" t="s">
        <v>20</v>
      </c>
      <c r="C625" s="7" t="s">
        <v>16</v>
      </c>
    </row>
    <row r="626" spans="1:7" ht="15" x14ac:dyDescent="0.25">
      <c r="A626" s="6">
        <v>55107</v>
      </c>
      <c r="B626" s="7" t="s">
        <v>6</v>
      </c>
      <c r="C626" s="7" t="s">
        <v>17</v>
      </c>
    </row>
    <row r="627" spans="1:7" ht="15" x14ac:dyDescent="0.25">
      <c r="A627" s="6">
        <v>55112</v>
      </c>
      <c r="B627" s="7" t="s">
        <v>19</v>
      </c>
      <c r="C627" s="7" t="s">
        <v>21</v>
      </c>
      <c r="G627" s="8"/>
    </row>
    <row r="628" spans="1:7" ht="15" x14ac:dyDescent="0.25">
      <c r="A628" s="6">
        <v>55147</v>
      </c>
      <c r="B628" s="7" t="s">
        <v>19</v>
      </c>
      <c r="C628" s="7" t="s">
        <v>18</v>
      </c>
    </row>
    <row r="629" spans="1:7" ht="15" x14ac:dyDescent="0.25">
      <c r="A629" s="4">
        <v>55154</v>
      </c>
      <c r="B629" s="5" t="s">
        <v>19</v>
      </c>
      <c r="C629" s="5" t="s">
        <v>4</v>
      </c>
    </row>
    <row r="630" spans="1:7" ht="15" x14ac:dyDescent="0.25">
      <c r="A630" s="4">
        <v>55197</v>
      </c>
      <c r="B630" s="5" t="s">
        <v>3</v>
      </c>
      <c r="C630" s="5" t="s">
        <v>5</v>
      </c>
    </row>
    <row r="631" spans="1:7" ht="15" x14ac:dyDescent="0.25">
      <c r="A631" s="4">
        <v>55198</v>
      </c>
      <c r="B631" s="5" t="s">
        <v>6</v>
      </c>
      <c r="C631" s="5" t="s">
        <v>5</v>
      </c>
    </row>
    <row r="632" spans="1:7" ht="15" x14ac:dyDescent="0.25">
      <c r="A632" s="4">
        <v>55243</v>
      </c>
      <c r="B632" s="5" t="s">
        <v>7</v>
      </c>
      <c r="C632" s="5" t="s">
        <v>8</v>
      </c>
    </row>
    <row r="633" spans="1:7" ht="15" x14ac:dyDescent="0.25">
      <c r="A633" s="4">
        <v>55264</v>
      </c>
      <c r="B633" s="5" t="s">
        <v>7</v>
      </c>
      <c r="C633" s="5" t="s">
        <v>10</v>
      </c>
    </row>
    <row r="634" spans="1:7" ht="15" x14ac:dyDescent="0.25">
      <c r="A634" s="4">
        <v>55274</v>
      </c>
      <c r="B634" s="5" t="s">
        <v>3</v>
      </c>
      <c r="C634" s="5" t="s">
        <v>11</v>
      </c>
    </row>
    <row r="635" spans="1:7" ht="15" x14ac:dyDescent="0.25">
      <c r="A635" s="4">
        <v>55305</v>
      </c>
      <c r="B635" s="5" t="s">
        <v>12</v>
      </c>
      <c r="C635" s="5" t="s">
        <v>13</v>
      </c>
    </row>
    <row r="636" spans="1:7" ht="15" x14ac:dyDescent="0.25">
      <c r="A636" s="4">
        <v>55403</v>
      </c>
      <c r="B636" s="5" t="s">
        <v>12</v>
      </c>
      <c r="C636" s="5" t="s">
        <v>14</v>
      </c>
    </row>
    <row r="637" spans="1:7" ht="15" x14ac:dyDescent="0.25">
      <c r="A637" s="4">
        <v>55438</v>
      </c>
      <c r="B637" s="5" t="s">
        <v>12</v>
      </c>
      <c r="C637" s="5" t="s">
        <v>15</v>
      </c>
    </row>
    <row r="638" spans="1:7" ht="15" x14ac:dyDescent="0.25">
      <c r="A638" s="4">
        <v>55459</v>
      </c>
      <c r="B638" s="5" t="s">
        <v>12</v>
      </c>
      <c r="C638" s="5" t="s">
        <v>16</v>
      </c>
    </row>
    <row r="639" spans="1:7" ht="15" x14ac:dyDescent="0.25">
      <c r="A639" s="4">
        <v>55472</v>
      </c>
      <c r="B639" s="5" t="s">
        <v>20</v>
      </c>
      <c r="C639" s="5" t="s">
        <v>17</v>
      </c>
    </row>
    <row r="640" spans="1:7" ht="15" x14ac:dyDescent="0.25">
      <c r="A640" s="4">
        <v>55477</v>
      </c>
      <c r="B640" s="5" t="s">
        <v>3</v>
      </c>
      <c r="C640" s="5" t="s">
        <v>21</v>
      </c>
      <c r="G640" s="8"/>
    </row>
    <row r="641" spans="1:7" ht="15" x14ac:dyDescent="0.25">
      <c r="A641" s="4">
        <v>55512</v>
      </c>
      <c r="B641" s="5" t="s">
        <v>3</v>
      </c>
      <c r="C641" s="5" t="s">
        <v>18</v>
      </c>
    </row>
    <row r="642" spans="1:7" ht="15" x14ac:dyDescent="0.25">
      <c r="A642" s="6">
        <v>55519</v>
      </c>
      <c r="B642" s="7" t="s">
        <v>3</v>
      </c>
      <c r="C642" s="7" t="s">
        <v>4</v>
      </c>
    </row>
    <row r="643" spans="1:7" ht="15" x14ac:dyDescent="0.25">
      <c r="A643" s="6">
        <v>55582</v>
      </c>
      <c r="B643" s="7" t="s">
        <v>3</v>
      </c>
      <c r="C643" s="7" t="s">
        <v>5</v>
      </c>
    </row>
    <row r="644" spans="1:7" ht="15" x14ac:dyDescent="0.25">
      <c r="A644" s="6">
        <v>55583</v>
      </c>
      <c r="B644" s="7" t="s">
        <v>6</v>
      </c>
      <c r="C644" s="7" t="s">
        <v>5</v>
      </c>
    </row>
    <row r="645" spans="1:7" ht="15" x14ac:dyDescent="0.25">
      <c r="A645" s="6">
        <v>55628</v>
      </c>
      <c r="B645" s="7" t="s">
        <v>7</v>
      </c>
      <c r="C645" s="7" t="s">
        <v>8</v>
      </c>
    </row>
    <row r="646" spans="1:7" ht="15" x14ac:dyDescent="0.25">
      <c r="A646" s="6">
        <v>55630</v>
      </c>
      <c r="B646" s="7" t="s">
        <v>19</v>
      </c>
      <c r="C646" s="7" t="s">
        <v>10</v>
      </c>
    </row>
    <row r="647" spans="1:7" ht="15" x14ac:dyDescent="0.25">
      <c r="A647" s="6">
        <v>55640</v>
      </c>
      <c r="B647" s="7" t="s">
        <v>20</v>
      </c>
      <c r="C647" s="7" t="s">
        <v>11</v>
      </c>
    </row>
    <row r="648" spans="1:7" ht="15" x14ac:dyDescent="0.25">
      <c r="A648" s="6">
        <v>55690</v>
      </c>
      <c r="B648" s="7" t="s">
        <v>12</v>
      </c>
      <c r="C648" s="7" t="s">
        <v>13</v>
      </c>
    </row>
    <row r="649" spans="1:7" ht="15" x14ac:dyDescent="0.25">
      <c r="A649" s="6">
        <v>55769</v>
      </c>
      <c r="B649" s="7" t="s">
        <v>9</v>
      </c>
      <c r="C649" s="7" t="s">
        <v>14</v>
      </c>
    </row>
    <row r="650" spans="1:7" ht="15" x14ac:dyDescent="0.25">
      <c r="A650" s="6">
        <v>55804</v>
      </c>
      <c r="B650" s="7" t="s">
        <v>9</v>
      </c>
      <c r="C650" s="7" t="s">
        <v>15</v>
      </c>
    </row>
    <row r="651" spans="1:7" ht="15" x14ac:dyDescent="0.25">
      <c r="A651" s="6">
        <v>55825</v>
      </c>
      <c r="B651" s="7" t="s">
        <v>9</v>
      </c>
      <c r="C651" s="7" t="s">
        <v>16</v>
      </c>
    </row>
    <row r="652" spans="1:7" ht="15" x14ac:dyDescent="0.25">
      <c r="A652" s="6">
        <v>55838</v>
      </c>
      <c r="B652" s="7" t="s">
        <v>7</v>
      </c>
      <c r="C652" s="7" t="s">
        <v>17</v>
      </c>
    </row>
    <row r="653" spans="1:7" ht="15" x14ac:dyDescent="0.25">
      <c r="A653" s="6">
        <v>55843</v>
      </c>
      <c r="B653" s="7" t="s">
        <v>20</v>
      </c>
      <c r="C653" s="7" t="s">
        <v>21</v>
      </c>
      <c r="G653" s="8"/>
    </row>
    <row r="654" spans="1:7" ht="15" x14ac:dyDescent="0.25">
      <c r="A654" s="6">
        <v>55878</v>
      </c>
      <c r="B654" s="7" t="s">
        <v>20</v>
      </c>
      <c r="C654" s="7" t="s">
        <v>18</v>
      </c>
    </row>
    <row r="655" spans="1:7" ht="15" x14ac:dyDescent="0.25">
      <c r="A655" s="4">
        <v>55885</v>
      </c>
      <c r="B655" s="5" t="s">
        <v>20</v>
      </c>
      <c r="C655" s="5" t="s">
        <v>4</v>
      </c>
    </row>
    <row r="656" spans="1:7" ht="15" x14ac:dyDescent="0.25">
      <c r="A656" s="4">
        <v>55932</v>
      </c>
      <c r="B656" s="5" t="s">
        <v>3</v>
      </c>
      <c r="C656" s="5" t="s">
        <v>5</v>
      </c>
    </row>
    <row r="657" spans="1:7" ht="15" x14ac:dyDescent="0.25">
      <c r="A657" s="4">
        <v>55933</v>
      </c>
      <c r="B657" s="5" t="s">
        <v>6</v>
      </c>
      <c r="C657" s="5" t="s">
        <v>5</v>
      </c>
    </row>
    <row r="658" spans="1:7" ht="15" x14ac:dyDescent="0.25">
      <c r="A658" s="4">
        <v>55978</v>
      </c>
      <c r="B658" s="5" t="s">
        <v>7</v>
      </c>
      <c r="C658" s="5" t="s">
        <v>8</v>
      </c>
    </row>
    <row r="659" spans="1:7" ht="15" x14ac:dyDescent="0.25">
      <c r="A659" s="4">
        <v>55995</v>
      </c>
      <c r="B659" s="5" t="s">
        <v>3</v>
      </c>
      <c r="C659" s="5" t="s">
        <v>10</v>
      </c>
    </row>
    <row r="660" spans="1:7" ht="15" x14ac:dyDescent="0.25">
      <c r="A660" s="4">
        <v>56005</v>
      </c>
      <c r="B660" s="5" t="s">
        <v>12</v>
      </c>
      <c r="C660" s="5" t="s">
        <v>11</v>
      </c>
    </row>
    <row r="661" spans="1:7" ht="15" x14ac:dyDescent="0.25">
      <c r="A661" s="4">
        <v>56040</v>
      </c>
      <c r="B661" s="5" t="s">
        <v>12</v>
      </c>
      <c r="C661" s="5" t="s">
        <v>13</v>
      </c>
    </row>
    <row r="662" spans="1:7" ht="15" x14ac:dyDescent="0.25">
      <c r="A662" s="4">
        <v>56134</v>
      </c>
      <c r="B662" s="5" t="s">
        <v>19</v>
      </c>
      <c r="C662" s="5" t="s">
        <v>14</v>
      </c>
    </row>
    <row r="663" spans="1:7" ht="15" x14ac:dyDescent="0.25">
      <c r="A663" s="4">
        <v>56169</v>
      </c>
      <c r="B663" s="5" t="s">
        <v>19</v>
      </c>
      <c r="C663" s="5" t="s">
        <v>15</v>
      </c>
    </row>
    <row r="664" spans="1:7" ht="15" x14ac:dyDescent="0.25">
      <c r="A664" s="4">
        <v>56190</v>
      </c>
      <c r="B664" s="5" t="s">
        <v>19</v>
      </c>
      <c r="C664" s="5" t="s">
        <v>16</v>
      </c>
    </row>
    <row r="665" spans="1:7" ht="15" x14ac:dyDescent="0.25">
      <c r="A665" s="4">
        <v>56203</v>
      </c>
      <c r="B665" s="5" t="s">
        <v>9</v>
      </c>
      <c r="C665" s="5" t="s">
        <v>17</v>
      </c>
    </row>
    <row r="666" spans="1:7" ht="15" x14ac:dyDescent="0.25">
      <c r="A666" s="4">
        <v>56208</v>
      </c>
      <c r="B666" s="5" t="s">
        <v>12</v>
      </c>
      <c r="C666" s="5" t="s">
        <v>21</v>
      </c>
      <c r="G666" s="8"/>
    </row>
    <row r="667" spans="1:7" ht="15" x14ac:dyDescent="0.25">
      <c r="A667" s="4">
        <v>56243</v>
      </c>
      <c r="B667" s="5" t="s">
        <v>12</v>
      </c>
      <c r="C667" s="5" t="s">
        <v>18</v>
      </c>
    </row>
    <row r="668" spans="1:7" ht="15" x14ac:dyDescent="0.25">
      <c r="A668" s="6">
        <v>56250</v>
      </c>
      <c r="B668" s="7" t="s">
        <v>12</v>
      </c>
      <c r="C668" s="7" t="s">
        <v>4</v>
      </c>
    </row>
    <row r="669" spans="1:7" ht="15" x14ac:dyDescent="0.25">
      <c r="A669" s="6">
        <v>56289</v>
      </c>
      <c r="B669" s="7" t="s">
        <v>3</v>
      </c>
      <c r="C669" s="7" t="s">
        <v>5</v>
      </c>
    </row>
    <row r="670" spans="1:7" ht="15" x14ac:dyDescent="0.25">
      <c r="A670" s="6">
        <v>56290</v>
      </c>
      <c r="B670" s="7" t="s">
        <v>6</v>
      </c>
      <c r="C670" s="7" t="s">
        <v>5</v>
      </c>
    </row>
    <row r="671" spans="1:7" ht="15" x14ac:dyDescent="0.25">
      <c r="A671" s="6">
        <v>56335</v>
      </c>
      <c r="B671" s="7" t="s">
        <v>7</v>
      </c>
      <c r="C671" s="7" t="s">
        <v>8</v>
      </c>
    </row>
    <row r="672" spans="1:7" ht="15" x14ac:dyDescent="0.25">
      <c r="A672" s="6">
        <v>56360</v>
      </c>
      <c r="B672" s="7" t="s">
        <v>6</v>
      </c>
      <c r="C672" s="7" t="s">
        <v>10</v>
      </c>
    </row>
    <row r="673" spans="1:7" ht="15" x14ac:dyDescent="0.25">
      <c r="A673" s="6">
        <v>56370</v>
      </c>
      <c r="B673" s="7" t="s">
        <v>7</v>
      </c>
      <c r="C673" s="7" t="s">
        <v>11</v>
      </c>
    </row>
    <row r="674" spans="1:7" ht="15" x14ac:dyDescent="0.25">
      <c r="A674" s="6">
        <v>56397</v>
      </c>
      <c r="B674" s="7" t="s">
        <v>12</v>
      </c>
      <c r="C674" s="7" t="s">
        <v>13</v>
      </c>
    </row>
    <row r="675" spans="1:7" ht="15" x14ac:dyDescent="0.25">
      <c r="A675" s="6">
        <v>56499</v>
      </c>
      <c r="B675" s="7" t="s">
        <v>3</v>
      </c>
      <c r="C675" s="7" t="s">
        <v>14</v>
      </c>
    </row>
    <row r="676" spans="1:7" ht="15" x14ac:dyDescent="0.25">
      <c r="A676" s="6">
        <v>56534</v>
      </c>
      <c r="B676" s="7" t="s">
        <v>3</v>
      </c>
      <c r="C676" s="7" t="s">
        <v>15</v>
      </c>
    </row>
    <row r="677" spans="1:7" ht="15" x14ac:dyDescent="0.25">
      <c r="A677" s="6">
        <v>56555</v>
      </c>
      <c r="B677" s="7" t="s">
        <v>3</v>
      </c>
      <c r="C677" s="7" t="s">
        <v>16</v>
      </c>
    </row>
    <row r="678" spans="1:7" ht="15" x14ac:dyDescent="0.25">
      <c r="A678" s="6">
        <v>56568</v>
      </c>
      <c r="B678" s="7" t="s">
        <v>19</v>
      </c>
      <c r="C678" s="7" t="s">
        <v>17</v>
      </c>
    </row>
    <row r="679" spans="1:7" ht="15" x14ac:dyDescent="0.25">
      <c r="A679" s="6">
        <v>56573</v>
      </c>
      <c r="B679" s="7" t="s">
        <v>7</v>
      </c>
      <c r="C679" s="7" t="s">
        <v>21</v>
      </c>
      <c r="G679" s="8"/>
    </row>
    <row r="680" spans="1:7" ht="15" x14ac:dyDescent="0.25">
      <c r="A680" s="6">
        <v>56608</v>
      </c>
      <c r="B680" s="7" t="s">
        <v>7</v>
      </c>
      <c r="C680" s="7" t="s">
        <v>18</v>
      </c>
    </row>
    <row r="681" spans="1:7" ht="15" x14ac:dyDescent="0.25">
      <c r="A681" s="4">
        <v>56615</v>
      </c>
      <c r="B681" s="5" t="s">
        <v>7</v>
      </c>
      <c r="C681" s="5" t="s">
        <v>4</v>
      </c>
    </row>
    <row r="682" spans="1:7" ht="15" x14ac:dyDescent="0.25">
      <c r="A682" s="4">
        <v>56674</v>
      </c>
      <c r="B682" s="5" t="s">
        <v>3</v>
      </c>
      <c r="C682" s="5" t="s">
        <v>5</v>
      </c>
    </row>
    <row r="683" spans="1:7" ht="15" x14ac:dyDescent="0.25">
      <c r="A683" s="4">
        <v>56675</v>
      </c>
      <c r="B683" s="5" t="s">
        <v>6</v>
      </c>
      <c r="C683" s="5" t="s">
        <v>5</v>
      </c>
    </row>
    <row r="684" spans="1:7" ht="15" x14ac:dyDescent="0.25">
      <c r="A684" s="4">
        <v>56720</v>
      </c>
      <c r="B684" s="5" t="s">
        <v>7</v>
      </c>
      <c r="C684" s="5" t="s">
        <v>8</v>
      </c>
    </row>
    <row r="685" spans="1:7" ht="15" x14ac:dyDescent="0.25">
      <c r="A685" s="4">
        <v>56725</v>
      </c>
      <c r="B685" s="5" t="s">
        <v>20</v>
      </c>
      <c r="C685" s="5" t="s">
        <v>10</v>
      </c>
    </row>
    <row r="686" spans="1:7" ht="15" x14ac:dyDescent="0.25">
      <c r="A686" s="4">
        <v>56735</v>
      </c>
      <c r="B686" s="5" t="s">
        <v>9</v>
      </c>
      <c r="C686" s="5" t="s">
        <v>11</v>
      </c>
    </row>
    <row r="687" spans="1:7" ht="15" x14ac:dyDescent="0.25">
      <c r="A687" s="4">
        <v>56782</v>
      </c>
      <c r="B687" s="5" t="s">
        <v>12</v>
      </c>
      <c r="C687" s="5" t="s">
        <v>13</v>
      </c>
    </row>
    <row r="688" spans="1:7" ht="15" x14ac:dyDescent="0.25">
      <c r="A688" s="4">
        <v>56864</v>
      </c>
      <c r="B688" s="5" t="s">
        <v>6</v>
      </c>
      <c r="C688" s="5" t="s">
        <v>14</v>
      </c>
    </row>
    <row r="689" spans="1:7" ht="15" x14ac:dyDescent="0.25">
      <c r="A689" s="4">
        <v>56899</v>
      </c>
      <c r="B689" s="5" t="s">
        <v>6</v>
      </c>
      <c r="C689" s="5" t="s">
        <v>15</v>
      </c>
    </row>
    <row r="690" spans="1:7" ht="15" x14ac:dyDescent="0.25">
      <c r="A690" s="4">
        <v>56920</v>
      </c>
      <c r="B690" s="5" t="s">
        <v>6</v>
      </c>
      <c r="C690" s="5" t="s">
        <v>16</v>
      </c>
    </row>
    <row r="691" spans="1:7" ht="15" x14ac:dyDescent="0.25">
      <c r="A691" s="4">
        <v>56933</v>
      </c>
      <c r="B691" s="5" t="s">
        <v>3</v>
      </c>
      <c r="C691" s="5" t="s">
        <v>17</v>
      </c>
    </row>
    <row r="692" spans="1:7" ht="15" x14ac:dyDescent="0.25">
      <c r="A692" s="4">
        <v>56938</v>
      </c>
      <c r="B692" s="5" t="s">
        <v>9</v>
      </c>
      <c r="C692" s="5" t="s">
        <v>21</v>
      </c>
      <c r="G692" s="8"/>
    </row>
    <row r="693" spans="1:7" ht="15" x14ac:dyDescent="0.25">
      <c r="A693" s="4">
        <v>56973</v>
      </c>
      <c r="B693" s="5" t="s">
        <v>9</v>
      </c>
      <c r="C693" s="5" t="s">
        <v>18</v>
      </c>
    </row>
    <row r="694" spans="1:7" ht="15" x14ac:dyDescent="0.25">
      <c r="A694" s="6">
        <v>56980</v>
      </c>
      <c r="B694" s="7" t="s">
        <v>9</v>
      </c>
      <c r="C694" s="7" t="s">
        <v>4</v>
      </c>
    </row>
    <row r="695" spans="1:7" ht="15" x14ac:dyDescent="0.25">
      <c r="A695" s="6">
        <v>57024</v>
      </c>
      <c r="B695" s="7" t="s">
        <v>3</v>
      </c>
      <c r="C695" s="7" t="s">
        <v>5</v>
      </c>
    </row>
    <row r="696" spans="1:7" ht="15" x14ac:dyDescent="0.25">
      <c r="A696" s="6">
        <v>57025</v>
      </c>
      <c r="B696" s="7" t="s">
        <v>6</v>
      </c>
      <c r="C696" s="7" t="s">
        <v>5</v>
      </c>
    </row>
    <row r="697" spans="1:7" ht="15" x14ac:dyDescent="0.25">
      <c r="A697" s="6">
        <v>57070</v>
      </c>
      <c r="B697" s="7" t="s">
        <v>7</v>
      </c>
      <c r="C697" s="7" t="s">
        <v>8</v>
      </c>
    </row>
    <row r="698" spans="1:7" ht="15" x14ac:dyDescent="0.25">
      <c r="A698" s="6">
        <v>57091</v>
      </c>
      <c r="B698" s="7" t="s">
        <v>7</v>
      </c>
      <c r="C698" s="7" t="s">
        <v>10</v>
      </c>
    </row>
    <row r="699" spans="1:7" ht="15" x14ac:dyDescent="0.25">
      <c r="A699" s="6">
        <v>57101</v>
      </c>
      <c r="B699" s="7" t="s">
        <v>3</v>
      </c>
      <c r="C699" s="7" t="s">
        <v>11</v>
      </c>
    </row>
    <row r="700" spans="1:7" ht="15" x14ac:dyDescent="0.25">
      <c r="A700" s="6">
        <v>57132</v>
      </c>
      <c r="B700" s="7" t="s">
        <v>12</v>
      </c>
      <c r="C700" s="7" t="s">
        <v>13</v>
      </c>
    </row>
    <row r="701" spans="1:7" ht="15" x14ac:dyDescent="0.25">
      <c r="A701" s="6">
        <v>57230</v>
      </c>
      <c r="B701" s="7" t="s">
        <v>12</v>
      </c>
      <c r="C701" s="7" t="s">
        <v>14</v>
      </c>
    </row>
    <row r="702" spans="1:7" ht="15" x14ac:dyDescent="0.25">
      <c r="A702" s="6">
        <v>57265</v>
      </c>
      <c r="B702" s="7" t="s">
        <v>12</v>
      </c>
      <c r="C702" s="7" t="s">
        <v>15</v>
      </c>
    </row>
    <row r="703" spans="1:7" ht="15" x14ac:dyDescent="0.25">
      <c r="A703" s="6">
        <v>57286</v>
      </c>
      <c r="B703" s="7" t="s">
        <v>12</v>
      </c>
      <c r="C703" s="7" t="s">
        <v>16</v>
      </c>
    </row>
    <row r="704" spans="1:7" ht="15" x14ac:dyDescent="0.25">
      <c r="A704" s="6">
        <v>57299</v>
      </c>
      <c r="B704" s="7" t="s">
        <v>20</v>
      </c>
      <c r="C704" s="7" t="s">
        <v>17</v>
      </c>
    </row>
    <row r="705" spans="1:7" ht="15" x14ac:dyDescent="0.25">
      <c r="A705" s="6">
        <v>57304</v>
      </c>
      <c r="B705" s="7" t="s">
        <v>3</v>
      </c>
      <c r="C705" s="7" t="s">
        <v>21</v>
      </c>
      <c r="G705" s="8"/>
    </row>
    <row r="706" spans="1:7" ht="15" x14ac:dyDescent="0.25">
      <c r="A706" s="6">
        <v>57339</v>
      </c>
      <c r="B706" s="7" t="s">
        <v>3</v>
      </c>
      <c r="C706" s="7" t="s">
        <v>18</v>
      </c>
    </row>
    <row r="707" spans="1:7" ht="15" x14ac:dyDescent="0.25">
      <c r="A707" s="4">
        <v>57346</v>
      </c>
      <c r="B707" s="5" t="s">
        <v>3</v>
      </c>
      <c r="C707" s="5" t="s">
        <v>4</v>
      </c>
    </row>
    <row r="708" spans="1:7" ht="15" x14ac:dyDescent="0.25">
      <c r="A708" s="4">
        <v>57409</v>
      </c>
      <c r="B708" s="5" t="s">
        <v>3</v>
      </c>
      <c r="C708" s="5" t="s">
        <v>5</v>
      </c>
    </row>
    <row r="709" spans="1:7" ht="15" x14ac:dyDescent="0.25">
      <c r="A709" s="4">
        <v>57410</v>
      </c>
      <c r="B709" s="5" t="s">
        <v>6</v>
      </c>
      <c r="C709" s="5" t="s">
        <v>5</v>
      </c>
    </row>
    <row r="710" spans="1:7" ht="15" x14ac:dyDescent="0.25">
      <c r="A710" s="4">
        <v>57455</v>
      </c>
      <c r="B710" s="5" t="s">
        <v>7</v>
      </c>
      <c r="C710" s="5" t="s">
        <v>8</v>
      </c>
    </row>
    <row r="711" spans="1:7" ht="15" x14ac:dyDescent="0.25">
      <c r="A711" s="4">
        <v>57456</v>
      </c>
      <c r="B711" s="5" t="s">
        <v>9</v>
      </c>
      <c r="C711" s="5" t="s">
        <v>10</v>
      </c>
    </row>
    <row r="712" spans="1:7" ht="15" x14ac:dyDescent="0.25">
      <c r="A712" s="4">
        <v>57466</v>
      </c>
      <c r="B712" s="5" t="s">
        <v>6</v>
      </c>
      <c r="C712" s="5" t="s">
        <v>11</v>
      </c>
    </row>
    <row r="713" spans="1:7" ht="15" x14ac:dyDescent="0.25">
      <c r="A713" s="4">
        <v>57517</v>
      </c>
      <c r="B713" s="5" t="s">
        <v>12</v>
      </c>
      <c r="C713" s="5" t="s">
        <v>13</v>
      </c>
    </row>
    <row r="714" spans="1:7" ht="15" x14ac:dyDescent="0.25">
      <c r="A714" s="4">
        <v>57595</v>
      </c>
      <c r="B714" s="5" t="s">
        <v>7</v>
      </c>
      <c r="C714" s="5" t="s">
        <v>14</v>
      </c>
    </row>
    <row r="715" spans="1:7" ht="15" x14ac:dyDescent="0.25">
      <c r="A715" s="4">
        <v>57630</v>
      </c>
      <c r="B715" s="5" t="s">
        <v>7</v>
      </c>
      <c r="C715" s="5" t="s">
        <v>15</v>
      </c>
    </row>
    <row r="716" spans="1:7" ht="15" x14ac:dyDescent="0.25">
      <c r="A716" s="4">
        <v>57651</v>
      </c>
      <c r="B716" s="5" t="s">
        <v>7</v>
      </c>
      <c r="C716" s="5" t="s">
        <v>16</v>
      </c>
    </row>
    <row r="717" spans="1:7" ht="15" x14ac:dyDescent="0.25">
      <c r="A717" s="4">
        <v>57664</v>
      </c>
      <c r="B717" s="5" t="s">
        <v>12</v>
      </c>
      <c r="C717" s="5" t="s">
        <v>17</v>
      </c>
    </row>
    <row r="718" spans="1:7" ht="15" x14ac:dyDescent="0.25">
      <c r="A718" s="4">
        <v>57669</v>
      </c>
      <c r="B718" s="5" t="s">
        <v>6</v>
      </c>
      <c r="C718" s="5" t="s">
        <v>21</v>
      </c>
      <c r="G718" s="8"/>
    </row>
    <row r="719" spans="1:7" ht="15" x14ac:dyDescent="0.25">
      <c r="A719" s="4">
        <v>57704</v>
      </c>
      <c r="B719" s="5" t="s">
        <v>6</v>
      </c>
      <c r="C719" s="5" t="s">
        <v>18</v>
      </c>
    </row>
    <row r="720" spans="1:7" ht="15" x14ac:dyDescent="0.25">
      <c r="A720" s="6">
        <v>57711</v>
      </c>
      <c r="B720" s="7" t="s">
        <v>6</v>
      </c>
      <c r="C720" s="7" t="s">
        <v>4</v>
      </c>
    </row>
    <row r="721" spans="1:7" ht="15" x14ac:dyDescent="0.25">
      <c r="A721" s="6">
        <v>57766</v>
      </c>
      <c r="B721" s="7" t="s">
        <v>3</v>
      </c>
      <c r="C721" s="7" t="s">
        <v>5</v>
      </c>
    </row>
    <row r="722" spans="1:7" ht="15" x14ac:dyDescent="0.25">
      <c r="A722" s="6">
        <v>57767</v>
      </c>
      <c r="B722" s="7" t="s">
        <v>6</v>
      </c>
      <c r="C722" s="7" t="s">
        <v>5</v>
      </c>
    </row>
    <row r="723" spans="1:7" ht="15" x14ac:dyDescent="0.25">
      <c r="A723" s="6">
        <v>57812</v>
      </c>
      <c r="B723" s="7" t="s">
        <v>7</v>
      </c>
      <c r="C723" s="7" t="s">
        <v>8</v>
      </c>
    </row>
    <row r="724" spans="1:7" ht="15" x14ac:dyDescent="0.25">
      <c r="A724" s="6">
        <v>57821</v>
      </c>
      <c r="B724" s="7" t="s">
        <v>19</v>
      </c>
      <c r="C724" s="7" t="s">
        <v>10</v>
      </c>
    </row>
    <row r="725" spans="1:7" ht="15" x14ac:dyDescent="0.25">
      <c r="A725" s="6">
        <v>57831</v>
      </c>
      <c r="B725" s="7" t="s">
        <v>20</v>
      </c>
      <c r="C725" s="7" t="s">
        <v>11</v>
      </c>
    </row>
    <row r="726" spans="1:7" ht="15" x14ac:dyDescent="0.25">
      <c r="A726" s="6">
        <v>57874</v>
      </c>
      <c r="B726" s="7" t="s">
        <v>12</v>
      </c>
      <c r="C726" s="7" t="s">
        <v>13</v>
      </c>
    </row>
    <row r="727" spans="1:7" ht="15" x14ac:dyDescent="0.25">
      <c r="A727" s="6">
        <v>57960</v>
      </c>
      <c r="B727" s="7" t="s">
        <v>9</v>
      </c>
      <c r="C727" s="7" t="s">
        <v>14</v>
      </c>
    </row>
    <row r="728" spans="1:7" ht="15" x14ac:dyDescent="0.25">
      <c r="A728" s="6">
        <v>57995</v>
      </c>
      <c r="B728" s="7" t="s">
        <v>9</v>
      </c>
      <c r="C728" s="7" t="s">
        <v>15</v>
      </c>
    </row>
    <row r="729" spans="1:7" ht="15" x14ac:dyDescent="0.25">
      <c r="A729" s="6">
        <v>58016</v>
      </c>
      <c r="B729" s="7" t="s">
        <v>9</v>
      </c>
      <c r="C729" s="7" t="s">
        <v>16</v>
      </c>
    </row>
    <row r="730" spans="1:7" ht="15" x14ac:dyDescent="0.25">
      <c r="A730" s="6">
        <v>58029</v>
      </c>
      <c r="B730" s="7" t="s">
        <v>7</v>
      </c>
      <c r="C730" s="7" t="s">
        <v>17</v>
      </c>
    </row>
    <row r="731" spans="1:7" ht="15" x14ac:dyDescent="0.25">
      <c r="A731" s="6">
        <v>58034</v>
      </c>
      <c r="B731" s="7" t="s">
        <v>20</v>
      </c>
      <c r="C731" s="7" t="s">
        <v>21</v>
      </c>
      <c r="G731" s="8"/>
    </row>
    <row r="732" spans="1:7" ht="15" x14ac:dyDescent="0.25">
      <c r="A732" s="6">
        <v>58069</v>
      </c>
      <c r="B732" s="7" t="s">
        <v>20</v>
      </c>
      <c r="C732" s="7" t="s">
        <v>18</v>
      </c>
    </row>
    <row r="733" spans="1:7" ht="15" x14ac:dyDescent="0.25">
      <c r="A733" s="4">
        <v>58076</v>
      </c>
      <c r="B733" s="5" t="s">
        <v>20</v>
      </c>
      <c r="C733" s="5" t="s">
        <v>4</v>
      </c>
    </row>
    <row r="734" spans="1:7" ht="15" x14ac:dyDescent="0.25">
      <c r="A734" s="4">
        <v>58116</v>
      </c>
      <c r="B734" s="5" t="s">
        <v>3</v>
      </c>
      <c r="C734" s="5" t="s">
        <v>5</v>
      </c>
    </row>
    <row r="735" spans="1:7" ht="15" x14ac:dyDescent="0.25">
      <c r="A735" s="4">
        <v>58117</v>
      </c>
      <c r="B735" s="5" t="s">
        <v>6</v>
      </c>
      <c r="C735" s="5" t="s">
        <v>5</v>
      </c>
    </row>
    <row r="736" spans="1:7" ht="15" x14ac:dyDescent="0.25">
      <c r="A736" s="4">
        <v>58162</v>
      </c>
      <c r="B736" s="5" t="s">
        <v>7</v>
      </c>
      <c r="C736" s="5" t="s">
        <v>8</v>
      </c>
    </row>
    <row r="737" spans="1:7" ht="15" x14ac:dyDescent="0.25">
      <c r="A737" s="4">
        <v>58186</v>
      </c>
      <c r="B737" s="5" t="s">
        <v>3</v>
      </c>
      <c r="C737" s="5" t="s">
        <v>10</v>
      </c>
    </row>
    <row r="738" spans="1:7" ht="15" x14ac:dyDescent="0.25">
      <c r="A738" s="4">
        <v>58196</v>
      </c>
      <c r="B738" s="5" t="s">
        <v>12</v>
      </c>
      <c r="C738" s="5" t="s">
        <v>11</v>
      </c>
    </row>
    <row r="739" spans="1:7" ht="15" x14ac:dyDescent="0.25">
      <c r="A739" s="4">
        <v>58224</v>
      </c>
      <c r="B739" s="5" t="s">
        <v>12</v>
      </c>
      <c r="C739" s="5" t="s">
        <v>13</v>
      </c>
    </row>
    <row r="740" spans="1:7" ht="15" x14ac:dyDescent="0.25">
      <c r="A740" s="4">
        <v>58325</v>
      </c>
      <c r="B740" s="5" t="s">
        <v>19</v>
      </c>
      <c r="C740" s="5" t="s">
        <v>14</v>
      </c>
    </row>
    <row r="741" spans="1:7" ht="15" x14ac:dyDescent="0.25">
      <c r="A741" s="4">
        <v>58360</v>
      </c>
      <c r="B741" s="5" t="s">
        <v>19</v>
      </c>
      <c r="C741" s="5" t="s">
        <v>15</v>
      </c>
    </row>
    <row r="742" spans="1:7" ht="15" x14ac:dyDescent="0.25">
      <c r="A742" s="4">
        <v>58381</v>
      </c>
      <c r="B742" s="5" t="s">
        <v>19</v>
      </c>
      <c r="C742" s="5" t="s">
        <v>16</v>
      </c>
    </row>
    <row r="743" spans="1:7" ht="15" x14ac:dyDescent="0.25">
      <c r="A743" s="4">
        <v>58394</v>
      </c>
      <c r="B743" s="5" t="s">
        <v>9</v>
      </c>
      <c r="C743" s="5" t="s">
        <v>17</v>
      </c>
    </row>
    <row r="744" spans="1:7" ht="15" x14ac:dyDescent="0.25">
      <c r="A744" s="4">
        <v>58399</v>
      </c>
      <c r="B744" s="5" t="s">
        <v>12</v>
      </c>
      <c r="C744" s="5" t="s">
        <v>21</v>
      </c>
      <c r="G744" s="8"/>
    </row>
    <row r="745" spans="1:7" ht="15" x14ac:dyDescent="0.25">
      <c r="A745" s="4">
        <v>58434</v>
      </c>
      <c r="B745" s="5" t="s">
        <v>12</v>
      </c>
      <c r="C745" s="5" t="s">
        <v>18</v>
      </c>
    </row>
    <row r="746" spans="1:7" ht="15" x14ac:dyDescent="0.25">
      <c r="A746" s="6">
        <v>58441</v>
      </c>
      <c r="B746" s="7" t="s">
        <v>12</v>
      </c>
      <c r="C746" s="7" t="s">
        <v>4</v>
      </c>
    </row>
    <row r="747" spans="1:7" ht="15" x14ac:dyDescent="0.25">
      <c r="A747" s="6">
        <v>58501</v>
      </c>
      <c r="B747" s="7" t="s">
        <v>3</v>
      </c>
      <c r="C747" s="7" t="s">
        <v>5</v>
      </c>
    </row>
    <row r="748" spans="1:7" ht="15" x14ac:dyDescent="0.25">
      <c r="A748" s="6">
        <v>58502</v>
      </c>
      <c r="B748" s="7" t="s">
        <v>6</v>
      </c>
      <c r="C748" s="7" t="s">
        <v>5</v>
      </c>
    </row>
    <row r="749" spans="1:7" ht="15" x14ac:dyDescent="0.25">
      <c r="A749" s="6">
        <v>58547</v>
      </c>
      <c r="B749" s="7" t="s">
        <v>7</v>
      </c>
      <c r="C749" s="7" t="s">
        <v>8</v>
      </c>
    </row>
    <row r="750" spans="1:7" ht="15" x14ac:dyDescent="0.25">
      <c r="A750" s="6">
        <v>58552</v>
      </c>
      <c r="B750" s="7" t="s">
        <v>20</v>
      </c>
      <c r="C750" s="7" t="s">
        <v>10</v>
      </c>
    </row>
    <row r="751" spans="1:7" ht="15" x14ac:dyDescent="0.25">
      <c r="A751" s="6">
        <v>58562</v>
      </c>
      <c r="B751" s="7" t="s">
        <v>9</v>
      </c>
      <c r="C751" s="7" t="s">
        <v>11</v>
      </c>
    </row>
    <row r="752" spans="1:7" ht="15" x14ac:dyDescent="0.25">
      <c r="A752" s="6">
        <v>58609</v>
      </c>
      <c r="B752" s="7" t="s">
        <v>12</v>
      </c>
      <c r="C752" s="7" t="s">
        <v>13</v>
      </c>
    </row>
    <row r="753" spans="1:7" ht="15" x14ac:dyDescent="0.25">
      <c r="A753" s="6">
        <v>58691</v>
      </c>
      <c r="B753" s="7" t="s">
        <v>6</v>
      </c>
      <c r="C753" s="7" t="s">
        <v>14</v>
      </c>
    </row>
    <row r="754" spans="1:7" ht="15" x14ac:dyDescent="0.25">
      <c r="A754" s="6">
        <v>58726</v>
      </c>
      <c r="B754" s="7" t="s">
        <v>6</v>
      </c>
      <c r="C754" s="7" t="s">
        <v>15</v>
      </c>
    </row>
    <row r="755" spans="1:7" ht="15" x14ac:dyDescent="0.25">
      <c r="A755" s="6">
        <v>58747</v>
      </c>
      <c r="B755" s="7" t="s">
        <v>6</v>
      </c>
      <c r="C755" s="7" t="s">
        <v>16</v>
      </c>
    </row>
    <row r="756" spans="1:7" ht="15" x14ac:dyDescent="0.25">
      <c r="A756" s="6">
        <v>58760</v>
      </c>
      <c r="B756" s="7" t="s">
        <v>3</v>
      </c>
      <c r="C756" s="7" t="s">
        <v>17</v>
      </c>
    </row>
    <row r="757" spans="1:7" ht="15" x14ac:dyDescent="0.25">
      <c r="A757" s="6">
        <v>58765</v>
      </c>
      <c r="B757" s="7" t="s">
        <v>9</v>
      </c>
      <c r="C757" s="7" t="s">
        <v>21</v>
      </c>
      <c r="G757" s="8"/>
    </row>
    <row r="758" spans="1:7" ht="15" x14ac:dyDescent="0.25">
      <c r="A758" s="6">
        <v>58800</v>
      </c>
      <c r="B758" s="7" t="s">
        <v>9</v>
      </c>
      <c r="C758" s="7" t="s">
        <v>18</v>
      </c>
    </row>
    <row r="759" spans="1:7" ht="15" x14ac:dyDescent="0.25">
      <c r="A759" s="4">
        <v>58807</v>
      </c>
      <c r="B759" s="5" t="s">
        <v>9</v>
      </c>
      <c r="C759" s="5" t="s">
        <v>4</v>
      </c>
    </row>
    <row r="760" spans="1:7" ht="15" x14ac:dyDescent="0.25">
      <c r="A760" s="4">
        <v>58858</v>
      </c>
      <c r="B760" s="5" t="s">
        <v>3</v>
      </c>
      <c r="C760" s="5" t="s">
        <v>5</v>
      </c>
    </row>
    <row r="761" spans="1:7" ht="15" x14ac:dyDescent="0.25">
      <c r="A761" s="4">
        <v>58859</v>
      </c>
      <c r="B761" s="5" t="s">
        <v>6</v>
      </c>
      <c r="C761" s="5" t="s">
        <v>5</v>
      </c>
    </row>
    <row r="762" spans="1:7" ht="15" x14ac:dyDescent="0.25">
      <c r="A762" s="4">
        <v>58904</v>
      </c>
      <c r="B762" s="5" t="s">
        <v>7</v>
      </c>
      <c r="C762" s="5" t="s">
        <v>8</v>
      </c>
    </row>
    <row r="763" spans="1:7" ht="15" x14ac:dyDescent="0.25">
      <c r="A763" s="4">
        <v>58917</v>
      </c>
      <c r="B763" s="5" t="s">
        <v>12</v>
      </c>
      <c r="C763" s="5" t="s">
        <v>10</v>
      </c>
    </row>
    <row r="764" spans="1:7" ht="15" x14ac:dyDescent="0.25">
      <c r="A764" s="4">
        <v>58927</v>
      </c>
      <c r="B764" s="5" t="s">
        <v>19</v>
      </c>
      <c r="C764" s="5" t="s">
        <v>11</v>
      </c>
    </row>
    <row r="765" spans="1:7" ht="15" x14ac:dyDescent="0.25">
      <c r="A765" s="4">
        <v>58966</v>
      </c>
      <c r="B765" s="5" t="s">
        <v>12</v>
      </c>
      <c r="C765" s="5" t="s">
        <v>13</v>
      </c>
    </row>
    <row r="766" spans="1:7" ht="15" x14ac:dyDescent="0.25">
      <c r="A766" s="4">
        <v>59056</v>
      </c>
      <c r="B766" s="5" t="s">
        <v>20</v>
      </c>
      <c r="C766" s="5" t="s">
        <v>14</v>
      </c>
    </row>
    <row r="767" spans="1:7" ht="15" x14ac:dyDescent="0.25">
      <c r="A767" s="4">
        <v>59091</v>
      </c>
      <c r="B767" s="5" t="s">
        <v>20</v>
      </c>
      <c r="C767" s="5" t="s">
        <v>15</v>
      </c>
    </row>
    <row r="768" spans="1:7" ht="15" x14ac:dyDescent="0.25">
      <c r="A768" s="4">
        <v>59112</v>
      </c>
      <c r="B768" s="5" t="s">
        <v>20</v>
      </c>
      <c r="C768" s="5" t="s">
        <v>16</v>
      </c>
    </row>
    <row r="769" spans="1:7" ht="15" x14ac:dyDescent="0.25">
      <c r="A769" s="4">
        <v>59125</v>
      </c>
      <c r="B769" s="5" t="s">
        <v>6</v>
      </c>
      <c r="C769" s="5" t="s">
        <v>17</v>
      </c>
    </row>
    <row r="770" spans="1:7" ht="15" x14ac:dyDescent="0.25">
      <c r="A770" s="4">
        <v>59130</v>
      </c>
      <c r="B770" s="5" t="s">
        <v>19</v>
      </c>
      <c r="C770" s="5" t="s">
        <v>21</v>
      </c>
      <c r="G770" s="8"/>
    </row>
    <row r="771" spans="1:7" ht="15" x14ac:dyDescent="0.25">
      <c r="A771" s="4">
        <v>59165</v>
      </c>
      <c r="B771" s="5" t="s">
        <v>19</v>
      </c>
      <c r="C771" s="5" t="s">
        <v>18</v>
      </c>
    </row>
    <row r="772" spans="1:7" ht="15" x14ac:dyDescent="0.25">
      <c r="A772" s="6">
        <v>59172</v>
      </c>
      <c r="B772" s="7" t="s">
        <v>19</v>
      </c>
      <c r="C772" s="7" t="s">
        <v>4</v>
      </c>
    </row>
    <row r="773" spans="1:7" ht="15" x14ac:dyDescent="0.25">
      <c r="A773" s="6">
        <v>59208</v>
      </c>
      <c r="B773" s="7" t="s">
        <v>3</v>
      </c>
      <c r="C773" s="7" t="s">
        <v>5</v>
      </c>
    </row>
    <row r="774" spans="1:7" ht="15" x14ac:dyDescent="0.25">
      <c r="A774" s="6">
        <v>59209</v>
      </c>
      <c r="B774" s="7" t="s">
        <v>6</v>
      </c>
      <c r="C774" s="7" t="s">
        <v>5</v>
      </c>
    </row>
    <row r="775" spans="1:7" ht="15" x14ac:dyDescent="0.25">
      <c r="A775" s="6">
        <v>59254</v>
      </c>
      <c r="B775" s="7" t="s">
        <v>7</v>
      </c>
      <c r="C775" s="7" t="s">
        <v>8</v>
      </c>
    </row>
    <row r="776" spans="1:7" ht="15" x14ac:dyDescent="0.25">
      <c r="A776" s="6">
        <v>59282</v>
      </c>
      <c r="B776" s="7" t="s">
        <v>7</v>
      </c>
      <c r="C776" s="7" t="s">
        <v>10</v>
      </c>
    </row>
    <row r="777" spans="1:7" ht="15" x14ac:dyDescent="0.25">
      <c r="A777" s="6">
        <v>59292</v>
      </c>
      <c r="B777" s="7" t="s">
        <v>3</v>
      </c>
      <c r="C777" s="7" t="s">
        <v>11</v>
      </c>
    </row>
    <row r="778" spans="1:7" ht="15" x14ac:dyDescent="0.25">
      <c r="A778" s="6">
        <v>59316</v>
      </c>
      <c r="B778" s="7" t="s">
        <v>12</v>
      </c>
      <c r="C778" s="7" t="s">
        <v>13</v>
      </c>
    </row>
    <row r="779" spans="1:7" ht="15" x14ac:dyDescent="0.25">
      <c r="A779" s="6">
        <v>59421</v>
      </c>
      <c r="B779" s="7" t="s">
        <v>12</v>
      </c>
      <c r="C779" s="7" t="s">
        <v>14</v>
      </c>
    </row>
    <row r="780" spans="1:7" ht="15" x14ac:dyDescent="0.25">
      <c r="A780" s="6">
        <v>59456</v>
      </c>
      <c r="B780" s="7" t="s">
        <v>12</v>
      </c>
      <c r="C780" s="7" t="s">
        <v>15</v>
      </c>
    </row>
    <row r="781" spans="1:7" ht="15" x14ac:dyDescent="0.25">
      <c r="A781" s="6">
        <v>59477</v>
      </c>
      <c r="B781" s="7" t="s">
        <v>12</v>
      </c>
      <c r="C781" s="7" t="s">
        <v>16</v>
      </c>
    </row>
    <row r="782" spans="1:7" ht="15" x14ac:dyDescent="0.25">
      <c r="A782" s="6">
        <v>59490</v>
      </c>
      <c r="B782" s="7" t="s">
        <v>20</v>
      </c>
      <c r="C782" s="7" t="s">
        <v>17</v>
      </c>
    </row>
    <row r="783" spans="1:7" ht="15" x14ac:dyDescent="0.25">
      <c r="A783" s="6">
        <v>59495</v>
      </c>
      <c r="B783" s="7" t="s">
        <v>3</v>
      </c>
      <c r="C783" s="7" t="s">
        <v>21</v>
      </c>
      <c r="G783" s="8"/>
    </row>
    <row r="784" spans="1:7" ht="15" x14ac:dyDescent="0.25">
      <c r="A784" s="6">
        <v>59530</v>
      </c>
      <c r="B784" s="7" t="s">
        <v>3</v>
      </c>
      <c r="C784" s="7" t="s">
        <v>18</v>
      </c>
    </row>
    <row r="785" spans="1:7" ht="15" x14ac:dyDescent="0.25">
      <c r="A785" s="4">
        <v>59537</v>
      </c>
      <c r="B785" s="5" t="s">
        <v>3</v>
      </c>
      <c r="C785" s="5" t="s">
        <v>4</v>
      </c>
    </row>
    <row r="786" spans="1:7" ht="15" x14ac:dyDescent="0.25">
      <c r="A786" s="4">
        <v>59593</v>
      </c>
      <c r="B786" s="5" t="s">
        <v>3</v>
      </c>
      <c r="C786" s="5" t="s">
        <v>5</v>
      </c>
    </row>
    <row r="787" spans="1:7" ht="15" x14ac:dyDescent="0.25">
      <c r="A787" s="4">
        <v>59594</v>
      </c>
      <c r="B787" s="5" t="s">
        <v>6</v>
      </c>
      <c r="C787" s="5" t="s">
        <v>5</v>
      </c>
    </row>
    <row r="788" spans="1:7" ht="15" x14ac:dyDescent="0.25">
      <c r="A788" s="4">
        <v>59639</v>
      </c>
      <c r="B788" s="5" t="s">
        <v>7</v>
      </c>
      <c r="C788" s="5" t="s">
        <v>8</v>
      </c>
    </row>
    <row r="789" spans="1:7" ht="15" x14ac:dyDescent="0.25">
      <c r="A789" s="4">
        <v>59647</v>
      </c>
      <c r="B789" s="5" t="s">
        <v>9</v>
      </c>
      <c r="C789" s="5" t="s">
        <v>10</v>
      </c>
    </row>
    <row r="790" spans="1:7" ht="15" x14ac:dyDescent="0.25">
      <c r="A790" s="4">
        <v>59657</v>
      </c>
      <c r="B790" s="5" t="s">
        <v>6</v>
      </c>
      <c r="C790" s="5" t="s">
        <v>11</v>
      </c>
    </row>
    <row r="791" spans="1:7" ht="15" x14ac:dyDescent="0.25">
      <c r="A791" s="4">
        <v>59701</v>
      </c>
      <c r="B791" s="5" t="s">
        <v>12</v>
      </c>
      <c r="C791" s="5" t="s">
        <v>13</v>
      </c>
    </row>
    <row r="792" spans="1:7" ht="15" x14ac:dyDescent="0.25">
      <c r="A792" s="4">
        <v>59786</v>
      </c>
      <c r="B792" s="5" t="s">
        <v>7</v>
      </c>
      <c r="C792" s="5" t="s">
        <v>14</v>
      </c>
    </row>
    <row r="793" spans="1:7" ht="15" x14ac:dyDescent="0.25">
      <c r="A793" s="4">
        <v>59821</v>
      </c>
      <c r="B793" s="5" t="s">
        <v>7</v>
      </c>
      <c r="C793" s="5" t="s">
        <v>15</v>
      </c>
    </row>
    <row r="794" spans="1:7" ht="15" x14ac:dyDescent="0.25">
      <c r="A794" s="4">
        <v>59842</v>
      </c>
      <c r="B794" s="5" t="s">
        <v>7</v>
      </c>
      <c r="C794" s="5" t="s">
        <v>16</v>
      </c>
    </row>
    <row r="795" spans="1:7" ht="15" x14ac:dyDescent="0.25">
      <c r="A795" s="4">
        <v>59855</v>
      </c>
      <c r="B795" s="5" t="s">
        <v>12</v>
      </c>
      <c r="C795" s="5" t="s">
        <v>17</v>
      </c>
    </row>
    <row r="796" spans="1:7" ht="15" x14ac:dyDescent="0.25">
      <c r="A796" s="4">
        <v>59860</v>
      </c>
      <c r="B796" s="5" t="s">
        <v>6</v>
      </c>
      <c r="C796" s="5" t="s">
        <v>21</v>
      </c>
      <c r="G796" s="8"/>
    </row>
    <row r="797" spans="1:7" ht="15" x14ac:dyDescent="0.25">
      <c r="A797" s="4">
        <v>59895</v>
      </c>
      <c r="B797" s="5" t="s">
        <v>6</v>
      </c>
      <c r="C797" s="5" t="s">
        <v>18</v>
      </c>
    </row>
    <row r="798" spans="1:7" ht="15" x14ac:dyDescent="0.25">
      <c r="A798" s="6">
        <v>59902</v>
      </c>
      <c r="B798" s="7" t="s">
        <v>6</v>
      </c>
      <c r="C798" s="7" t="s">
        <v>4</v>
      </c>
    </row>
    <row r="799" spans="1:7" ht="15" x14ac:dyDescent="0.25">
      <c r="A799" s="6">
        <v>59950</v>
      </c>
      <c r="B799" s="7" t="s">
        <v>3</v>
      </c>
      <c r="C799" s="7" t="s">
        <v>5</v>
      </c>
    </row>
    <row r="800" spans="1:7" ht="15" x14ac:dyDescent="0.25">
      <c r="A800" s="6">
        <v>59951</v>
      </c>
      <c r="B800" s="7" t="s">
        <v>6</v>
      </c>
      <c r="C800" s="7" t="s">
        <v>5</v>
      </c>
    </row>
    <row r="801" spans="1:7" ht="15" x14ac:dyDescent="0.25">
      <c r="A801" s="6">
        <v>59996</v>
      </c>
      <c r="B801" s="7" t="s">
        <v>7</v>
      </c>
      <c r="C801" s="7" t="s">
        <v>8</v>
      </c>
    </row>
    <row r="802" spans="1:7" ht="15" x14ac:dyDescent="0.25">
      <c r="A802" s="6">
        <v>60013</v>
      </c>
      <c r="B802" s="7" t="s">
        <v>3</v>
      </c>
      <c r="C802" s="7" t="s">
        <v>10</v>
      </c>
    </row>
    <row r="803" spans="1:7" ht="15" x14ac:dyDescent="0.25">
      <c r="A803" s="6">
        <v>60023</v>
      </c>
      <c r="B803" s="7" t="s">
        <v>12</v>
      </c>
      <c r="C803" s="7" t="s">
        <v>11</v>
      </c>
    </row>
    <row r="804" spans="1:7" ht="15" x14ac:dyDescent="0.25">
      <c r="A804" s="6">
        <v>60058</v>
      </c>
      <c r="B804" s="7" t="s">
        <v>12</v>
      </c>
      <c r="C804" s="7" t="s">
        <v>13</v>
      </c>
    </row>
    <row r="805" spans="1:7" ht="15" x14ac:dyDescent="0.25">
      <c r="A805" s="6">
        <v>60152</v>
      </c>
      <c r="B805" s="7" t="s">
        <v>19</v>
      </c>
      <c r="C805" s="7" t="s">
        <v>14</v>
      </c>
    </row>
    <row r="806" spans="1:7" ht="15" x14ac:dyDescent="0.25">
      <c r="A806" s="6">
        <v>60187</v>
      </c>
      <c r="B806" s="7" t="s">
        <v>19</v>
      </c>
      <c r="C806" s="7" t="s">
        <v>15</v>
      </c>
    </row>
    <row r="807" spans="1:7" ht="15" x14ac:dyDescent="0.25">
      <c r="A807" s="6">
        <v>60208</v>
      </c>
      <c r="B807" s="7" t="s">
        <v>19</v>
      </c>
      <c r="C807" s="7" t="s">
        <v>16</v>
      </c>
    </row>
    <row r="808" spans="1:7" ht="15" x14ac:dyDescent="0.25">
      <c r="A808" s="6">
        <v>60221</v>
      </c>
      <c r="B808" s="7" t="s">
        <v>9</v>
      </c>
      <c r="C808" s="7" t="s">
        <v>17</v>
      </c>
    </row>
    <row r="809" spans="1:7" ht="15" x14ac:dyDescent="0.25">
      <c r="A809" s="6">
        <v>60226</v>
      </c>
      <c r="B809" s="7" t="s">
        <v>12</v>
      </c>
      <c r="C809" s="7" t="s">
        <v>21</v>
      </c>
      <c r="G809" s="8"/>
    </row>
    <row r="810" spans="1:7" ht="15" x14ac:dyDescent="0.25">
      <c r="A810" s="6">
        <v>60261</v>
      </c>
      <c r="B810" s="7" t="s">
        <v>12</v>
      </c>
      <c r="C810" s="7" t="s">
        <v>18</v>
      </c>
    </row>
    <row r="811" spans="1:7" ht="15" x14ac:dyDescent="0.25">
      <c r="A811" s="4">
        <v>60268</v>
      </c>
      <c r="B811" s="5" t="s">
        <v>12</v>
      </c>
      <c r="C811" s="5" t="s">
        <v>4</v>
      </c>
    </row>
    <row r="812" spans="1:7" ht="15" x14ac:dyDescent="0.25">
      <c r="A812" s="4">
        <v>60307</v>
      </c>
      <c r="B812" s="5" t="s">
        <v>3</v>
      </c>
      <c r="C812" s="5" t="s">
        <v>5</v>
      </c>
    </row>
    <row r="813" spans="1:7" ht="15" x14ac:dyDescent="0.25">
      <c r="A813" s="4">
        <v>60308</v>
      </c>
      <c r="B813" s="5" t="s">
        <v>6</v>
      </c>
      <c r="C813" s="5" t="s">
        <v>5</v>
      </c>
    </row>
    <row r="814" spans="1:7" ht="15" x14ac:dyDescent="0.25">
      <c r="A814" s="4">
        <v>60353</v>
      </c>
      <c r="B814" s="5" t="s">
        <v>7</v>
      </c>
      <c r="C814" s="5" t="s">
        <v>8</v>
      </c>
    </row>
    <row r="815" spans="1:7" ht="15" x14ac:dyDescent="0.25">
      <c r="A815" s="4">
        <v>60378</v>
      </c>
      <c r="B815" s="5" t="s">
        <v>6</v>
      </c>
      <c r="C815" s="5" t="s">
        <v>10</v>
      </c>
    </row>
    <row r="816" spans="1:7" ht="15" x14ac:dyDescent="0.25">
      <c r="A816" s="4">
        <v>60388</v>
      </c>
      <c r="B816" s="5" t="s">
        <v>7</v>
      </c>
      <c r="C816" s="5" t="s">
        <v>11</v>
      </c>
    </row>
    <row r="817" spans="1:7" ht="15" x14ac:dyDescent="0.25">
      <c r="A817" s="4">
        <v>60415</v>
      </c>
      <c r="B817" s="5" t="s">
        <v>12</v>
      </c>
      <c r="C817" s="5" t="s">
        <v>13</v>
      </c>
    </row>
    <row r="818" spans="1:7" ht="15" x14ac:dyDescent="0.25">
      <c r="A818" s="4">
        <v>60517</v>
      </c>
      <c r="B818" s="5" t="s">
        <v>3</v>
      </c>
      <c r="C818" s="5" t="s">
        <v>14</v>
      </c>
    </row>
    <row r="819" spans="1:7" ht="15" x14ac:dyDescent="0.25">
      <c r="A819" s="4">
        <v>60552</v>
      </c>
      <c r="B819" s="5" t="s">
        <v>3</v>
      </c>
      <c r="C819" s="5" t="s">
        <v>15</v>
      </c>
    </row>
    <row r="820" spans="1:7" ht="15" x14ac:dyDescent="0.25">
      <c r="A820" s="4">
        <v>60573</v>
      </c>
      <c r="B820" s="5" t="s">
        <v>3</v>
      </c>
      <c r="C820" s="5" t="s">
        <v>16</v>
      </c>
    </row>
    <row r="821" spans="1:7" ht="15" x14ac:dyDescent="0.25">
      <c r="A821" s="4">
        <v>60586</v>
      </c>
      <c r="B821" s="5" t="s">
        <v>19</v>
      </c>
      <c r="C821" s="5" t="s">
        <v>17</v>
      </c>
    </row>
    <row r="822" spans="1:7" ht="15" x14ac:dyDescent="0.25">
      <c r="A822" s="4">
        <v>60591</v>
      </c>
      <c r="B822" s="5" t="s">
        <v>7</v>
      </c>
      <c r="C822" s="5" t="s">
        <v>21</v>
      </c>
      <c r="G822" s="8"/>
    </row>
    <row r="823" spans="1:7" ht="15" x14ac:dyDescent="0.25">
      <c r="A823" s="4">
        <v>60626</v>
      </c>
      <c r="B823" s="5" t="s">
        <v>7</v>
      </c>
      <c r="C823" s="5" t="s">
        <v>18</v>
      </c>
    </row>
    <row r="824" spans="1:7" ht="15" x14ac:dyDescent="0.25">
      <c r="A824" s="6">
        <v>60633</v>
      </c>
      <c r="B824" s="7" t="s">
        <v>7</v>
      </c>
      <c r="C824" s="7" t="s">
        <v>4</v>
      </c>
    </row>
    <row r="825" spans="1:7" ht="15" x14ac:dyDescent="0.25">
      <c r="A825" s="6">
        <v>60685</v>
      </c>
      <c r="B825" s="7" t="s">
        <v>3</v>
      </c>
      <c r="C825" s="7" t="s">
        <v>5</v>
      </c>
    </row>
    <row r="826" spans="1:7" ht="15" x14ac:dyDescent="0.25">
      <c r="A826" s="6">
        <v>60686</v>
      </c>
      <c r="B826" s="7" t="s">
        <v>6</v>
      </c>
      <c r="C826" s="7" t="s">
        <v>5</v>
      </c>
    </row>
    <row r="827" spans="1:7" ht="15" x14ac:dyDescent="0.25">
      <c r="A827" s="6">
        <v>60731</v>
      </c>
      <c r="B827" s="7" t="s">
        <v>7</v>
      </c>
      <c r="C827" s="7" t="s">
        <v>8</v>
      </c>
    </row>
    <row r="828" spans="1:7" ht="15" x14ac:dyDescent="0.25">
      <c r="A828" s="6">
        <v>60743</v>
      </c>
      <c r="B828" s="7" t="s">
        <v>20</v>
      </c>
      <c r="C828" s="7" t="s">
        <v>10</v>
      </c>
    </row>
    <row r="829" spans="1:7" ht="15" x14ac:dyDescent="0.25">
      <c r="A829" s="6">
        <v>60753</v>
      </c>
      <c r="B829" s="7" t="s">
        <v>9</v>
      </c>
      <c r="C829" s="7" t="s">
        <v>11</v>
      </c>
    </row>
    <row r="830" spans="1:7" ht="15" x14ac:dyDescent="0.25">
      <c r="A830" s="6">
        <v>60793</v>
      </c>
      <c r="B830" s="7" t="s">
        <v>12</v>
      </c>
      <c r="C830" s="7" t="s">
        <v>13</v>
      </c>
    </row>
    <row r="831" spans="1:7" ht="15" x14ac:dyDescent="0.25">
      <c r="A831" s="6">
        <v>60882</v>
      </c>
      <c r="B831" s="7" t="s">
        <v>6</v>
      </c>
      <c r="C831" s="7" t="s">
        <v>14</v>
      </c>
    </row>
    <row r="832" spans="1:7" ht="15" x14ac:dyDescent="0.25">
      <c r="A832" s="6">
        <v>60917</v>
      </c>
      <c r="B832" s="7" t="s">
        <v>6</v>
      </c>
      <c r="C832" s="7" t="s">
        <v>15</v>
      </c>
    </row>
    <row r="833" spans="1:7" ht="15" x14ac:dyDescent="0.25">
      <c r="A833" s="6">
        <v>60938</v>
      </c>
      <c r="B833" s="7" t="s">
        <v>6</v>
      </c>
      <c r="C833" s="7" t="s">
        <v>16</v>
      </c>
    </row>
    <row r="834" spans="1:7" ht="15" x14ac:dyDescent="0.25">
      <c r="A834" s="6">
        <v>60951</v>
      </c>
      <c r="B834" s="7" t="s">
        <v>3</v>
      </c>
      <c r="C834" s="7" t="s">
        <v>17</v>
      </c>
    </row>
    <row r="835" spans="1:7" ht="15" x14ac:dyDescent="0.25">
      <c r="A835" s="6">
        <v>60956</v>
      </c>
      <c r="B835" s="7" t="s">
        <v>9</v>
      </c>
      <c r="C835" s="7" t="s">
        <v>21</v>
      </c>
      <c r="G835" s="8"/>
    </row>
    <row r="836" spans="1:7" ht="15" x14ac:dyDescent="0.25">
      <c r="A836" s="6">
        <v>60991</v>
      </c>
      <c r="B836" s="7" t="s">
        <v>9</v>
      </c>
      <c r="C836" s="7" t="s">
        <v>18</v>
      </c>
    </row>
    <row r="837" spans="1:7" ht="15" x14ac:dyDescent="0.25">
      <c r="A837" s="4">
        <v>60998</v>
      </c>
      <c r="B837" s="5" t="s">
        <v>9</v>
      </c>
      <c r="C837" s="5" t="s">
        <v>4</v>
      </c>
    </row>
    <row r="838" spans="1:7" ht="15" x14ac:dyDescent="0.25">
      <c r="A838" s="4">
        <v>61042</v>
      </c>
      <c r="B838" s="5" t="s">
        <v>3</v>
      </c>
      <c r="C838" s="5" t="s">
        <v>5</v>
      </c>
    </row>
    <row r="839" spans="1:7" ht="15" x14ac:dyDescent="0.25">
      <c r="A839" s="4">
        <v>61043</v>
      </c>
      <c r="B839" s="5" t="s">
        <v>6</v>
      </c>
      <c r="C839" s="5" t="s">
        <v>5</v>
      </c>
    </row>
    <row r="840" spans="1:7" ht="15" x14ac:dyDescent="0.25">
      <c r="A840" s="4">
        <v>61088</v>
      </c>
      <c r="B840" s="5" t="s">
        <v>7</v>
      </c>
      <c r="C840" s="5" t="s">
        <v>8</v>
      </c>
    </row>
    <row r="841" spans="1:7" ht="15" x14ac:dyDescent="0.25">
      <c r="A841" s="4">
        <v>61108</v>
      </c>
      <c r="B841" s="5" t="s">
        <v>12</v>
      </c>
      <c r="C841" s="5" t="s">
        <v>10</v>
      </c>
    </row>
    <row r="842" spans="1:7" ht="15" x14ac:dyDescent="0.25">
      <c r="A842" s="4">
        <v>61118</v>
      </c>
      <c r="B842" s="5" t="s">
        <v>19</v>
      </c>
      <c r="C842" s="5" t="s">
        <v>11</v>
      </c>
    </row>
    <row r="843" spans="1:7" ht="15" x14ac:dyDescent="0.25">
      <c r="A843" s="4">
        <v>61150</v>
      </c>
      <c r="B843" s="5" t="s">
        <v>12</v>
      </c>
      <c r="C843" s="5" t="s">
        <v>13</v>
      </c>
    </row>
    <row r="844" spans="1:7" ht="15" x14ac:dyDescent="0.25">
      <c r="A844" s="4">
        <v>61247</v>
      </c>
      <c r="B844" s="5" t="s">
        <v>20</v>
      </c>
      <c r="C844" s="5" t="s">
        <v>14</v>
      </c>
    </row>
    <row r="845" spans="1:7" ht="15" x14ac:dyDescent="0.25">
      <c r="A845" s="4">
        <v>61282</v>
      </c>
      <c r="B845" s="5" t="s">
        <v>20</v>
      </c>
      <c r="C845" s="5" t="s">
        <v>15</v>
      </c>
    </row>
    <row r="846" spans="1:7" ht="15" x14ac:dyDescent="0.25">
      <c r="A846" s="4">
        <v>61303</v>
      </c>
      <c r="B846" s="5" t="s">
        <v>20</v>
      </c>
      <c r="C846" s="5" t="s">
        <v>16</v>
      </c>
    </row>
    <row r="847" spans="1:7" ht="15" x14ac:dyDescent="0.25">
      <c r="A847" s="4">
        <v>61316</v>
      </c>
      <c r="B847" s="5" t="s">
        <v>6</v>
      </c>
      <c r="C847" s="5" t="s">
        <v>17</v>
      </c>
    </row>
    <row r="848" spans="1:7" ht="15" x14ac:dyDescent="0.25">
      <c r="A848" s="4">
        <v>61321</v>
      </c>
      <c r="B848" s="5" t="s">
        <v>19</v>
      </c>
      <c r="C848" s="5" t="s">
        <v>21</v>
      </c>
      <c r="G848" s="8"/>
    </row>
    <row r="849" spans="1:7" ht="15" x14ac:dyDescent="0.25">
      <c r="A849" s="4">
        <v>61356</v>
      </c>
      <c r="B849" s="5" t="s">
        <v>19</v>
      </c>
      <c r="C849" s="5" t="s">
        <v>18</v>
      </c>
    </row>
    <row r="850" spans="1:7" ht="15" x14ac:dyDescent="0.25">
      <c r="A850" s="6">
        <v>61363</v>
      </c>
      <c r="B850" s="7" t="s">
        <v>19</v>
      </c>
      <c r="C850" s="7" t="s">
        <v>4</v>
      </c>
    </row>
    <row r="851" spans="1:7" ht="15" x14ac:dyDescent="0.25">
      <c r="A851" s="6">
        <v>61427</v>
      </c>
      <c r="B851" s="7" t="s">
        <v>3</v>
      </c>
      <c r="C851" s="7" t="s">
        <v>5</v>
      </c>
    </row>
    <row r="852" spans="1:7" ht="15" x14ac:dyDescent="0.25">
      <c r="A852" s="6">
        <v>61428</v>
      </c>
      <c r="B852" s="7" t="s">
        <v>6</v>
      </c>
      <c r="C852" s="7" t="s">
        <v>5</v>
      </c>
    </row>
    <row r="853" spans="1:7" ht="15" x14ac:dyDescent="0.25">
      <c r="A853" s="6">
        <v>61473</v>
      </c>
      <c r="B853" s="7" t="s">
        <v>7</v>
      </c>
      <c r="C853" s="7" t="s">
        <v>8</v>
      </c>
    </row>
    <row r="854" spans="1:7" ht="15" x14ac:dyDescent="0.25">
      <c r="A854" s="6">
        <v>61474</v>
      </c>
      <c r="B854" s="7" t="s">
        <v>9</v>
      </c>
      <c r="C854" s="7" t="s">
        <v>10</v>
      </c>
    </row>
    <row r="855" spans="1:7" ht="15" x14ac:dyDescent="0.25">
      <c r="A855" s="6">
        <v>61484</v>
      </c>
      <c r="B855" s="7" t="s">
        <v>6</v>
      </c>
      <c r="C855" s="7" t="s">
        <v>11</v>
      </c>
    </row>
    <row r="856" spans="1:7" ht="15" x14ac:dyDescent="0.25">
      <c r="A856" s="6">
        <v>61535</v>
      </c>
      <c r="B856" s="7" t="s">
        <v>12</v>
      </c>
      <c r="C856" s="7" t="s">
        <v>13</v>
      </c>
    </row>
    <row r="857" spans="1:7" ht="15" x14ac:dyDescent="0.25">
      <c r="A857" s="6">
        <v>61613</v>
      </c>
      <c r="B857" s="7" t="s">
        <v>7</v>
      </c>
      <c r="C857" s="7" t="s">
        <v>14</v>
      </c>
    </row>
    <row r="858" spans="1:7" ht="15" x14ac:dyDescent="0.25">
      <c r="A858" s="6">
        <v>61648</v>
      </c>
      <c r="B858" s="7" t="s">
        <v>7</v>
      </c>
      <c r="C858" s="7" t="s">
        <v>15</v>
      </c>
    </row>
    <row r="859" spans="1:7" ht="15" x14ac:dyDescent="0.25">
      <c r="A859" s="6">
        <v>61669</v>
      </c>
      <c r="B859" s="7" t="s">
        <v>7</v>
      </c>
      <c r="C859" s="7" t="s">
        <v>16</v>
      </c>
    </row>
    <row r="860" spans="1:7" ht="15" x14ac:dyDescent="0.25">
      <c r="A860" s="6">
        <v>61682</v>
      </c>
      <c r="B860" s="7" t="s">
        <v>12</v>
      </c>
      <c r="C860" s="7" t="s">
        <v>17</v>
      </c>
    </row>
    <row r="861" spans="1:7" ht="15" x14ac:dyDescent="0.25">
      <c r="A861" s="6">
        <v>61687</v>
      </c>
      <c r="B861" s="7" t="s">
        <v>6</v>
      </c>
      <c r="C861" s="7" t="s">
        <v>21</v>
      </c>
      <c r="G861" s="8"/>
    </row>
    <row r="862" spans="1:7" ht="15" x14ac:dyDescent="0.25">
      <c r="A862" s="6">
        <v>61722</v>
      </c>
      <c r="B862" s="7" t="s">
        <v>6</v>
      </c>
      <c r="C862" s="7" t="s">
        <v>18</v>
      </c>
    </row>
    <row r="863" spans="1:7" ht="15" x14ac:dyDescent="0.25">
      <c r="A863" s="4">
        <v>61729</v>
      </c>
      <c r="B863" s="5" t="s">
        <v>6</v>
      </c>
      <c r="C863" s="5" t="s">
        <v>4</v>
      </c>
    </row>
    <row r="864" spans="1:7" ht="15" x14ac:dyDescent="0.25">
      <c r="A864" s="4">
        <v>61784</v>
      </c>
      <c r="B864" s="5" t="s">
        <v>3</v>
      </c>
      <c r="C864" s="5" t="s">
        <v>5</v>
      </c>
    </row>
    <row r="865" spans="1:7" ht="15" x14ac:dyDescent="0.25">
      <c r="A865" s="4">
        <v>61785</v>
      </c>
      <c r="B865" s="5" t="s">
        <v>6</v>
      </c>
      <c r="C865" s="5" t="s">
        <v>5</v>
      </c>
    </row>
    <row r="866" spans="1:7" ht="15" x14ac:dyDescent="0.25">
      <c r="A866" s="4">
        <v>61830</v>
      </c>
      <c r="B866" s="5" t="s">
        <v>7</v>
      </c>
      <c r="C866" s="5" t="s">
        <v>8</v>
      </c>
    </row>
    <row r="867" spans="1:7" ht="15" x14ac:dyDescent="0.25">
      <c r="A867" s="4">
        <v>61839</v>
      </c>
      <c r="B867" s="5" t="s">
        <v>19</v>
      </c>
      <c r="C867" s="5" t="s">
        <v>10</v>
      </c>
    </row>
    <row r="868" spans="1:7" ht="15" x14ac:dyDescent="0.25">
      <c r="A868" s="4">
        <v>61849</v>
      </c>
      <c r="B868" s="5" t="s">
        <v>20</v>
      </c>
      <c r="C868" s="5" t="s">
        <v>11</v>
      </c>
    </row>
    <row r="869" spans="1:7" ht="15" x14ac:dyDescent="0.25">
      <c r="A869" s="4">
        <v>61892</v>
      </c>
      <c r="B869" s="5" t="s">
        <v>12</v>
      </c>
      <c r="C869" s="5" t="s">
        <v>13</v>
      </c>
    </row>
    <row r="870" spans="1:7" ht="15" x14ac:dyDescent="0.25">
      <c r="A870" s="4">
        <v>61978</v>
      </c>
      <c r="B870" s="5" t="s">
        <v>9</v>
      </c>
      <c r="C870" s="5" t="s">
        <v>14</v>
      </c>
    </row>
    <row r="871" spans="1:7" ht="15" x14ac:dyDescent="0.25">
      <c r="A871" s="4">
        <v>62013</v>
      </c>
      <c r="B871" s="5" t="s">
        <v>9</v>
      </c>
      <c r="C871" s="5" t="s">
        <v>15</v>
      </c>
    </row>
    <row r="872" spans="1:7" ht="15" x14ac:dyDescent="0.25">
      <c r="A872" s="4">
        <v>62034</v>
      </c>
      <c r="B872" s="5" t="s">
        <v>9</v>
      </c>
      <c r="C872" s="5" t="s">
        <v>16</v>
      </c>
    </row>
    <row r="873" spans="1:7" ht="15" x14ac:dyDescent="0.25">
      <c r="A873" s="4">
        <v>62047</v>
      </c>
      <c r="B873" s="5" t="s">
        <v>7</v>
      </c>
      <c r="C873" s="5" t="s">
        <v>17</v>
      </c>
    </row>
    <row r="874" spans="1:7" ht="15" x14ac:dyDescent="0.25">
      <c r="A874" s="4">
        <v>62052</v>
      </c>
      <c r="B874" s="5" t="s">
        <v>20</v>
      </c>
      <c r="C874" s="5" t="s">
        <v>21</v>
      </c>
      <c r="G874" s="8"/>
    </row>
    <row r="875" spans="1:7" ht="15" x14ac:dyDescent="0.25">
      <c r="A875" s="4">
        <v>62087</v>
      </c>
      <c r="B875" s="5" t="s">
        <v>20</v>
      </c>
      <c r="C875" s="5" t="s">
        <v>18</v>
      </c>
    </row>
    <row r="876" spans="1:7" ht="15" x14ac:dyDescent="0.25">
      <c r="A876" s="6">
        <v>62094</v>
      </c>
      <c r="B876" s="7" t="s">
        <v>20</v>
      </c>
      <c r="C876" s="7" t="s">
        <v>4</v>
      </c>
    </row>
    <row r="877" spans="1:7" ht="15" x14ac:dyDescent="0.25">
      <c r="A877" s="6">
        <v>62134</v>
      </c>
      <c r="B877" s="7" t="s">
        <v>3</v>
      </c>
      <c r="C877" s="7" t="s">
        <v>5</v>
      </c>
    </row>
    <row r="878" spans="1:7" ht="15" x14ac:dyDescent="0.25">
      <c r="A878" s="6">
        <v>62135</v>
      </c>
      <c r="B878" s="7" t="s">
        <v>6</v>
      </c>
      <c r="C878" s="7" t="s">
        <v>5</v>
      </c>
    </row>
    <row r="879" spans="1:7" ht="15" x14ac:dyDescent="0.25">
      <c r="A879" s="6">
        <v>62180</v>
      </c>
      <c r="B879" s="7" t="s">
        <v>7</v>
      </c>
      <c r="C879" s="7" t="s">
        <v>8</v>
      </c>
    </row>
    <row r="880" spans="1:7" ht="15" x14ac:dyDescent="0.25">
      <c r="A880" s="6">
        <v>62204</v>
      </c>
      <c r="B880" s="7" t="s">
        <v>3</v>
      </c>
      <c r="C880" s="7" t="s">
        <v>10</v>
      </c>
    </row>
    <row r="881" spans="1:7" ht="15" x14ac:dyDescent="0.25">
      <c r="A881" s="6">
        <v>62214</v>
      </c>
      <c r="B881" s="7" t="s">
        <v>12</v>
      </c>
      <c r="C881" s="7" t="s">
        <v>11</v>
      </c>
    </row>
    <row r="882" spans="1:7" ht="15" x14ac:dyDescent="0.25">
      <c r="A882" s="6">
        <v>62242</v>
      </c>
      <c r="B882" s="7" t="s">
        <v>12</v>
      </c>
      <c r="C882" s="7" t="s">
        <v>13</v>
      </c>
    </row>
    <row r="883" spans="1:7" ht="15" x14ac:dyDescent="0.25">
      <c r="A883" s="6">
        <v>62343</v>
      </c>
      <c r="B883" s="7" t="s">
        <v>19</v>
      </c>
      <c r="C883" s="7" t="s">
        <v>14</v>
      </c>
    </row>
    <row r="884" spans="1:7" ht="15" x14ac:dyDescent="0.25">
      <c r="A884" s="6">
        <v>62378</v>
      </c>
      <c r="B884" s="7" t="s">
        <v>19</v>
      </c>
      <c r="C884" s="7" t="s">
        <v>15</v>
      </c>
    </row>
    <row r="885" spans="1:7" ht="15" x14ac:dyDescent="0.25">
      <c r="A885" s="6">
        <v>62399</v>
      </c>
      <c r="B885" s="7" t="s">
        <v>19</v>
      </c>
      <c r="C885" s="7" t="s">
        <v>16</v>
      </c>
    </row>
    <row r="886" spans="1:7" ht="15" x14ac:dyDescent="0.25">
      <c r="A886" s="6">
        <v>62412</v>
      </c>
      <c r="B886" s="7" t="s">
        <v>9</v>
      </c>
      <c r="C886" s="7" t="s">
        <v>17</v>
      </c>
    </row>
    <row r="887" spans="1:7" ht="15" x14ac:dyDescent="0.25">
      <c r="A887" s="6">
        <v>62417</v>
      </c>
      <c r="B887" s="7" t="s">
        <v>12</v>
      </c>
      <c r="C887" s="7" t="s">
        <v>21</v>
      </c>
      <c r="G887" s="8"/>
    </row>
    <row r="888" spans="1:7" ht="15" x14ac:dyDescent="0.25">
      <c r="A888" s="6">
        <v>62452</v>
      </c>
      <c r="B888" s="7" t="s">
        <v>12</v>
      </c>
      <c r="C888" s="7" t="s">
        <v>18</v>
      </c>
    </row>
    <row r="889" spans="1:7" ht="15" x14ac:dyDescent="0.25">
      <c r="A889" s="4">
        <v>62459</v>
      </c>
      <c r="B889" s="5" t="s">
        <v>12</v>
      </c>
      <c r="C889" s="5" t="s">
        <v>4</v>
      </c>
    </row>
    <row r="890" spans="1:7" ht="15" x14ac:dyDescent="0.25">
      <c r="A890" s="4">
        <v>62519</v>
      </c>
      <c r="B890" s="5" t="s">
        <v>3</v>
      </c>
      <c r="C890" s="5" t="s">
        <v>5</v>
      </c>
    </row>
    <row r="891" spans="1:7" ht="15" x14ac:dyDescent="0.25">
      <c r="A891" s="4">
        <v>62520</v>
      </c>
      <c r="B891" s="5" t="s">
        <v>6</v>
      </c>
      <c r="C891" s="5" t="s">
        <v>5</v>
      </c>
    </row>
    <row r="892" spans="1:7" ht="15" x14ac:dyDescent="0.25">
      <c r="A892" s="4">
        <v>62565</v>
      </c>
      <c r="B892" s="5" t="s">
        <v>7</v>
      </c>
      <c r="C892" s="5" t="s">
        <v>8</v>
      </c>
    </row>
    <row r="893" spans="1:7" ht="15" x14ac:dyDescent="0.25">
      <c r="A893" s="4">
        <v>62569</v>
      </c>
      <c r="B893" s="5" t="s">
        <v>6</v>
      </c>
      <c r="C893" s="5" t="s">
        <v>10</v>
      </c>
    </row>
    <row r="894" spans="1:7" ht="15" x14ac:dyDescent="0.25">
      <c r="A894" s="4">
        <v>62579</v>
      </c>
      <c r="B894" s="5" t="s">
        <v>7</v>
      </c>
      <c r="C894" s="5" t="s">
        <v>11</v>
      </c>
    </row>
    <row r="895" spans="1:7" ht="15" x14ac:dyDescent="0.25">
      <c r="A895" s="4">
        <v>62627</v>
      </c>
      <c r="B895" s="5" t="s">
        <v>12</v>
      </c>
      <c r="C895" s="5" t="s">
        <v>13</v>
      </c>
    </row>
    <row r="896" spans="1:7" ht="15" x14ac:dyDescent="0.25">
      <c r="A896" s="4">
        <v>62708</v>
      </c>
      <c r="B896" s="5" t="s">
        <v>3</v>
      </c>
      <c r="C896" s="5" t="s">
        <v>14</v>
      </c>
    </row>
    <row r="897" spans="1:7" ht="15" x14ac:dyDescent="0.25">
      <c r="A897" s="4">
        <v>62743</v>
      </c>
      <c r="B897" s="5" t="s">
        <v>3</v>
      </c>
      <c r="C897" s="5" t="s">
        <v>15</v>
      </c>
    </row>
    <row r="898" spans="1:7" ht="15" x14ac:dyDescent="0.25">
      <c r="A898" s="4">
        <v>62764</v>
      </c>
      <c r="B898" s="5" t="s">
        <v>3</v>
      </c>
      <c r="C898" s="5" t="s">
        <v>16</v>
      </c>
    </row>
    <row r="899" spans="1:7" ht="15" x14ac:dyDescent="0.25">
      <c r="A899" s="4">
        <v>62777</v>
      </c>
      <c r="B899" s="5" t="s">
        <v>19</v>
      </c>
      <c r="C899" s="5" t="s">
        <v>17</v>
      </c>
    </row>
    <row r="900" spans="1:7" ht="15" x14ac:dyDescent="0.25">
      <c r="A900" s="4">
        <v>62782</v>
      </c>
      <c r="B900" s="5" t="s">
        <v>7</v>
      </c>
      <c r="C900" s="5" t="s">
        <v>21</v>
      </c>
      <c r="G900" s="8"/>
    </row>
    <row r="901" spans="1:7" ht="15" x14ac:dyDescent="0.25">
      <c r="A901" s="4">
        <v>62817</v>
      </c>
      <c r="B901" s="5" t="s">
        <v>7</v>
      </c>
      <c r="C901" s="5" t="s">
        <v>18</v>
      </c>
    </row>
    <row r="902" spans="1:7" ht="15" x14ac:dyDescent="0.25">
      <c r="A902" s="6">
        <v>62824</v>
      </c>
      <c r="B902" s="7" t="s">
        <v>7</v>
      </c>
      <c r="C902" s="7" t="s">
        <v>4</v>
      </c>
    </row>
    <row r="903" spans="1:7" ht="15" x14ac:dyDescent="0.25">
      <c r="A903" s="6">
        <v>62876</v>
      </c>
      <c r="B903" s="7" t="s">
        <v>3</v>
      </c>
      <c r="C903" s="7" t="s">
        <v>5</v>
      </c>
    </row>
    <row r="904" spans="1:7" ht="15" x14ac:dyDescent="0.25">
      <c r="A904" s="6">
        <v>62877</v>
      </c>
      <c r="B904" s="7" t="s">
        <v>6</v>
      </c>
      <c r="C904" s="7" t="s">
        <v>5</v>
      </c>
    </row>
    <row r="905" spans="1:7" ht="15" x14ac:dyDescent="0.25">
      <c r="A905" s="6">
        <v>62922</v>
      </c>
      <c r="B905" s="7" t="s">
        <v>7</v>
      </c>
      <c r="C905" s="7" t="s">
        <v>8</v>
      </c>
    </row>
    <row r="906" spans="1:7" ht="15" x14ac:dyDescent="0.25">
      <c r="A906" s="6">
        <v>62935</v>
      </c>
      <c r="B906" s="7" t="s">
        <v>12</v>
      </c>
      <c r="C906" s="7" t="s">
        <v>10</v>
      </c>
    </row>
    <row r="907" spans="1:7" ht="15" x14ac:dyDescent="0.25">
      <c r="A907" s="6">
        <v>62945</v>
      </c>
      <c r="B907" s="7" t="s">
        <v>19</v>
      </c>
      <c r="C907" s="7" t="s">
        <v>11</v>
      </c>
    </row>
    <row r="908" spans="1:7" ht="15" x14ac:dyDescent="0.25">
      <c r="A908" s="6">
        <v>62984</v>
      </c>
      <c r="B908" s="7" t="s">
        <v>12</v>
      </c>
      <c r="C908" s="7" t="s">
        <v>13</v>
      </c>
    </row>
    <row r="909" spans="1:7" ht="15" x14ac:dyDescent="0.25">
      <c r="A909" s="6">
        <v>63074</v>
      </c>
      <c r="B909" s="7" t="s">
        <v>20</v>
      </c>
      <c r="C909" s="7" t="s">
        <v>14</v>
      </c>
    </row>
    <row r="910" spans="1:7" ht="15" x14ac:dyDescent="0.25">
      <c r="A910" s="6">
        <v>63109</v>
      </c>
      <c r="B910" s="7" t="s">
        <v>20</v>
      </c>
      <c r="C910" s="7" t="s">
        <v>15</v>
      </c>
    </row>
    <row r="911" spans="1:7" ht="15" x14ac:dyDescent="0.25">
      <c r="A911" s="6">
        <v>63130</v>
      </c>
      <c r="B911" s="7" t="s">
        <v>20</v>
      </c>
      <c r="C911" s="7" t="s">
        <v>16</v>
      </c>
    </row>
    <row r="912" spans="1:7" ht="15" x14ac:dyDescent="0.25">
      <c r="A912" s="6">
        <v>63143</v>
      </c>
      <c r="B912" s="7" t="s">
        <v>6</v>
      </c>
      <c r="C912" s="7" t="s">
        <v>17</v>
      </c>
    </row>
    <row r="913" spans="1:7" ht="15" x14ac:dyDescent="0.25">
      <c r="A913" s="6">
        <v>63148</v>
      </c>
      <c r="B913" s="7" t="s">
        <v>19</v>
      </c>
      <c r="C913" s="7" t="s">
        <v>21</v>
      </c>
      <c r="G913" s="8"/>
    </row>
    <row r="914" spans="1:7" ht="15" x14ac:dyDescent="0.25">
      <c r="A914" s="6">
        <v>63183</v>
      </c>
      <c r="B914" s="7" t="s">
        <v>19</v>
      </c>
      <c r="C914" s="7" t="s">
        <v>18</v>
      </c>
    </row>
    <row r="915" spans="1:7" ht="15" x14ac:dyDescent="0.25">
      <c r="A915" s="4">
        <v>63190</v>
      </c>
      <c r="B915" s="5" t="s">
        <v>19</v>
      </c>
      <c r="C915" s="5" t="s">
        <v>4</v>
      </c>
    </row>
    <row r="916" spans="1:7" ht="15" x14ac:dyDescent="0.25">
      <c r="A916" s="4">
        <v>63226</v>
      </c>
      <c r="B916" s="5" t="s">
        <v>3</v>
      </c>
      <c r="C916" s="5" t="s">
        <v>5</v>
      </c>
    </row>
    <row r="917" spans="1:7" ht="15" x14ac:dyDescent="0.25">
      <c r="A917" s="4">
        <v>63227</v>
      </c>
      <c r="B917" s="5" t="s">
        <v>6</v>
      </c>
      <c r="C917" s="5" t="s">
        <v>5</v>
      </c>
    </row>
    <row r="918" spans="1:7" ht="15" x14ac:dyDescent="0.25">
      <c r="A918" s="4">
        <v>63272</v>
      </c>
      <c r="B918" s="5" t="s">
        <v>7</v>
      </c>
      <c r="C918" s="5" t="s">
        <v>8</v>
      </c>
    </row>
    <row r="919" spans="1:7" ht="15" x14ac:dyDescent="0.25">
      <c r="A919" s="4">
        <v>63300</v>
      </c>
      <c r="B919" s="5" t="s">
        <v>7</v>
      </c>
      <c r="C919" s="5" t="s">
        <v>10</v>
      </c>
    </row>
    <row r="920" spans="1:7" ht="15" x14ac:dyDescent="0.25">
      <c r="A920" s="4">
        <v>63310</v>
      </c>
      <c r="B920" s="5" t="s">
        <v>3</v>
      </c>
      <c r="C920" s="5" t="s">
        <v>11</v>
      </c>
    </row>
    <row r="921" spans="1:7" ht="15" x14ac:dyDescent="0.25">
      <c r="A921" s="4">
        <v>63334</v>
      </c>
      <c r="B921" s="5" t="s">
        <v>12</v>
      </c>
      <c r="C921" s="5" t="s">
        <v>13</v>
      </c>
    </row>
    <row r="922" spans="1:7" ht="15" x14ac:dyDescent="0.25">
      <c r="A922" s="4">
        <v>63439</v>
      </c>
      <c r="B922" s="5" t="s">
        <v>12</v>
      </c>
      <c r="C922" s="5" t="s">
        <v>14</v>
      </c>
    </row>
    <row r="923" spans="1:7" ht="15" x14ac:dyDescent="0.25">
      <c r="A923" s="4">
        <v>63474</v>
      </c>
      <c r="B923" s="5" t="s">
        <v>12</v>
      </c>
      <c r="C923" s="5" t="s">
        <v>15</v>
      </c>
    </row>
    <row r="924" spans="1:7" ht="15" x14ac:dyDescent="0.25">
      <c r="A924" s="4">
        <v>63495</v>
      </c>
      <c r="B924" s="5" t="s">
        <v>12</v>
      </c>
      <c r="C924" s="5" t="s">
        <v>16</v>
      </c>
    </row>
    <row r="925" spans="1:7" ht="15" x14ac:dyDescent="0.25">
      <c r="A925" s="4">
        <v>63508</v>
      </c>
      <c r="B925" s="5" t="s">
        <v>20</v>
      </c>
      <c r="C925" s="5" t="s">
        <v>17</v>
      </c>
    </row>
    <row r="926" spans="1:7" ht="15" x14ac:dyDescent="0.25">
      <c r="A926" s="4">
        <v>63513</v>
      </c>
      <c r="B926" s="5" t="s">
        <v>3</v>
      </c>
      <c r="C926" s="5" t="s">
        <v>21</v>
      </c>
      <c r="G926" s="8"/>
    </row>
    <row r="927" spans="1:7" ht="15" x14ac:dyDescent="0.25">
      <c r="A927" s="4">
        <v>63548</v>
      </c>
      <c r="B927" s="5" t="s">
        <v>3</v>
      </c>
      <c r="C927" s="5" t="s">
        <v>18</v>
      </c>
    </row>
    <row r="928" spans="1:7" ht="15" x14ac:dyDescent="0.25">
      <c r="A928" s="6">
        <v>63555</v>
      </c>
      <c r="B928" s="7" t="s">
        <v>3</v>
      </c>
      <c r="C928" s="7" t="s">
        <v>4</v>
      </c>
    </row>
    <row r="929" spans="1:7" ht="15" x14ac:dyDescent="0.25">
      <c r="A929" s="6">
        <v>63611</v>
      </c>
      <c r="B929" s="7" t="s">
        <v>3</v>
      </c>
      <c r="C929" s="7" t="s">
        <v>5</v>
      </c>
    </row>
    <row r="930" spans="1:7" ht="15" x14ac:dyDescent="0.25">
      <c r="A930" s="6">
        <v>63612</v>
      </c>
      <c r="B930" s="7" t="s">
        <v>6</v>
      </c>
      <c r="C930" s="7" t="s">
        <v>5</v>
      </c>
    </row>
    <row r="931" spans="1:7" ht="15" x14ac:dyDescent="0.25">
      <c r="A931" s="6">
        <v>63657</v>
      </c>
      <c r="B931" s="7" t="s">
        <v>7</v>
      </c>
      <c r="C931" s="7" t="s">
        <v>8</v>
      </c>
    </row>
    <row r="932" spans="1:7" ht="15" x14ac:dyDescent="0.25">
      <c r="A932" s="6">
        <v>63665</v>
      </c>
      <c r="B932" s="7" t="s">
        <v>9</v>
      </c>
      <c r="C932" s="7" t="s">
        <v>10</v>
      </c>
    </row>
    <row r="933" spans="1:7" ht="15" x14ac:dyDescent="0.25">
      <c r="A933" s="6">
        <v>63675</v>
      </c>
      <c r="B933" s="7" t="s">
        <v>6</v>
      </c>
      <c r="C933" s="7" t="s">
        <v>11</v>
      </c>
    </row>
    <row r="934" spans="1:7" ht="15" x14ac:dyDescent="0.25">
      <c r="A934" s="6">
        <v>63719</v>
      </c>
      <c r="B934" s="7" t="s">
        <v>12</v>
      </c>
      <c r="C934" s="7" t="s">
        <v>13</v>
      </c>
    </row>
    <row r="935" spans="1:7" ht="15" x14ac:dyDescent="0.25">
      <c r="A935" s="6">
        <v>63804</v>
      </c>
      <c r="B935" s="7" t="s">
        <v>7</v>
      </c>
      <c r="C935" s="7" t="s">
        <v>14</v>
      </c>
    </row>
    <row r="936" spans="1:7" ht="15" x14ac:dyDescent="0.25">
      <c r="A936" s="6">
        <v>63839</v>
      </c>
      <c r="B936" s="7" t="s">
        <v>7</v>
      </c>
      <c r="C936" s="7" t="s">
        <v>15</v>
      </c>
    </row>
    <row r="937" spans="1:7" ht="15" x14ac:dyDescent="0.25">
      <c r="A937" s="6">
        <v>63860</v>
      </c>
      <c r="B937" s="7" t="s">
        <v>7</v>
      </c>
      <c r="C937" s="7" t="s">
        <v>16</v>
      </c>
    </row>
    <row r="938" spans="1:7" ht="15" x14ac:dyDescent="0.25">
      <c r="A938" s="6">
        <v>63873</v>
      </c>
      <c r="B938" s="7" t="s">
        <v>12</v>
      </c>
      <c r="C938" s="7" t="s">
        <v>17</v>
      </c>
    </row>
    <row r="939" spans="1:7" ht="15" x14ac:dyDescent="0.25">
      <c r="A939" s="6">
        <v>63878</v>
      </c>
      <c r="B939" s="7" t="s">
        <v>6</v>
      </c>
      <c r="C939" s="7" t="s">
        <v>21</v>
      </c>
      <c r="G939" s="8"/>
    </row>
    <row r="940" spans="1:7" ht="15" x14ac:dyDescent="0.25">
      <c r="A940" s="6">
        <v>63913</v>
      </c>
      <c r="B940" s="7" t="s">
        <v>6</v>
      </c>
      <c r="C940" s="7" t="s">
        <v>18</v>
      </c>
    </row>
    <row r="941" spans="1:7" ht="15" x14ac:dyDescent="0.25">
      <c r="A941" s="4">
        <v>63920</v>
      </c>
      <c r="B941" s="5" t="s">
        <v>6</v>
      </c>
      <c r="C941" s="5" t="s">
        <v>4</v>
      </c>
    </row>
    <row r="942" spans="1:7" ht="15" x14ac:dyDescent="0.25">
      <c r="A942" s="4">
        <v>63968</v>
      </c>
      <c r="B942" s="5" t="s">
        <v>3</v>
      </c>
      <c r="C942" s="5" t="s">
        <v>5</v>
      </c>
    </row>
    <row r="943" spans="1:7" ht="15" x14ac:dyDescent="0.25">
      <c r="A943" s="4">
        <v>63969</v>
      </c>
      <c r="B943" s="5" t="s">
        <v>6</v>
      </c>
      <c r="C943" s="5" t="s">
        <v>5</v>
      </c>
    </row>
    <row r="944" spans="1:7" ht="15" x14ac:dyDescent="0.25">
      <c r="A944" s="4">
        <v>64014</v>
      </c>
      <c r="B944" s="5" t="s">
        <v>7</v>
      </c>
      <c r="C944" s="5" t="s">
        <v>8</v>
      </c>
    </row>
    <row r="945" spans="1:7" ht="15" x14ac:dyDescent="0.25">
      <c r="A945" s="4">
        <v>64030</v>
      </c>
      <c r="B945" s="5" t="s">
        <v>19</v>
      </c>
      <c r="C945" s="5" t="s">
        <v>10</v>
      </c>
    </row>
    <row r="946" spans="1:7" ht="15" x14ac:dyDescent="0.25">
      <c r="A946" s="4">
        <v>64040</v>
      </c>
      <c r="B946" s="5" t="s">
        <v>20</v>
      </c>
      <c r="C946" s="5" t="s">
        <v>11</v>
      </c>
    </row>
    <row r="947" spans="1:7" ht="15" x14ac:dyDescent="0.25">
      <c r="A947" s="4">
        <v>64076</v>
      </c>
      <c r="B947" s="5" t="s">
        <v>12</v>
      </c>
      <c r="C947" s="5" t="s">
        <v>13</v>
      </c>
    </row>
    <row r="948" spans="1:7" ht="15" x14ac:dyDescent="0.25">
      <c r="A948" s="4">
        <v>64169</v>
      </c>
      <c r="B948" s="5" t="s">
        <v>9</v>
      </c>
      <c r="C948" s="5" t="s">
        <v>14</v>
      </c>
    </row>
    <row r="949" spans="1:7" ht="15" x14ac:dyDescent="0.25">
      <c r="A949" s="4">
        <v>64204</v>
      </c>
      <c r="B949" s="5" t="s">
        <v>9</v>
      </c>
      <c r="C949" s="5" t="s">
        <v>15</v>
      </c>
    </row>
    <row r="950" spans="1:7" ht="15" x14ac:dyDescent="0.25">
      <c r="A950" s="4">
        <v>64225</v>
      </c>
      <c r="B950" s="5" t="s">
        <v>9</v>
      </c>
      <c r="C950" s="5" t="s">
        <v>16</v>
      </c>
    </row>
    <row r="951" spans="1:7" ht="15" x14ac:dyDescent="0.25">
      <c r="A951" s="4">
        <v>64238</v>
      </c>
      <c r="B951" s="5" t="s">
        <v>7</v>
      </c>
      <c r="C951" s="5" t="s">
        <v>17</v>
      </c>
    </row>
    <row r="952" spans="1:7" ht="15" x14ac:dyDescent="0.25">
      <c r="A952" s="4">
        <v>64243</v>
      </c>
      <c r="B952" s="5" t="s">
        <v>20</v>
      </c>
      <c r="C952" s="5" t="s">
        <v>21</v>
      </c>
      <c r="G952" s="8"/>
    </row>
    <row r="953" spans="1:7" ht="15" x14ac:dyDescent="0.25">
      <c r="A953" s="4">
        <v>64278</v>
      </c>
      <c r="B953" s="5" t="s">
        <v>20</v>
      </c>
      <c r="C953" s="5" t="s">
        <v>18</v>
      </c>
    </row>
    <row r="954" spans="1:7" ht="15" x14ac:dyDescent="0.25">
      <c r="A954" s="6">
        <v>64285</v>
      </c>
      <c r="B954" s="7" t="s">
        <v>20</v>
      </c>
      <c r="C954" s="7" t="s">
        <v>4</v>
      </c>
    </row>
    <row r="955" spans="1:7" ht="15" x14ac:dyDescent="0.25">
      <c r="A955" s="6">
        <v>64346</v>
      </c>
      <c r="B955" s="7" t="s">
        <v>3</v>
      </c>
      <c r="C955" s="7" t="s">
        <v>5</v>
      </c>
    </row>
    <row r="956" spans="1:7" ht="15" x14ac:dyDescent="0.25">
      <c r="A956" s="6">
        <v>64347</v>
      </c>
      <c r="B956" s="7" t="s">
        <v>6</v>
      </c>
      <c r="C956" s="7" t="s">
        <v>5</v>
      </c>
    </row>
    <row r="957" spans="1:7" ht="15" x14ac:dyDescent="0.25">
      <c r="A957" s="6">
        <v>64392</v>
      </c>
      <c r="B957" s="7" t="s">
        <v>7</v>
      </c>
      <c r="C957" s="7" t="s">
        <v>8</v>
      </c>
    </row>
    <row r="958" spans="1:7" ht="15" x14ac:dyDescent="0.25">
      <c r="A958" s="6">
        <v>64396</v>
      </c>
      <c r="B958" s="7" t="s">
        <v>6</v>
      </c>
      <c r="C958" s="7" t="s">
        <v>10</v>
      </c>
    </row>
    <row r="959" spans="1:7" ht="15" x14ac:dyDescent="0.25">
      <c r="A959" s="6">
        <v>64406</v>
      </c>
      <c r="B959" s="7" t="s">
        <v>7</v>
      </c>
      <c r="C959" s="7" t="s">
        <v>11</v>
      </c>
    </row>
    <row r="960" spans="1:7" ht="15" x14ac:dyDescent="0.25">
      <c r="A960" s="6">
        <v>64454</v>
      </c>
      <c r="B960" s="7" t="s">
        <v>12</v>
      </c>
      <c r="C960" s="7" t="s">
        <v>13</v>
      </c>
    </row>
    <row r="961" spans="1:7" ht="15" x14ac:dyDescent="0.25">
      <c r="A961" s="6">
        <v>64535</v>
      </c>
      <c r="B961" s="7" t="s">
        <v>3</v>
      </c>
      <c r="C961" s="7" t="s">
        <v>14</v>
      </c>
    </row>
    <row r="962" spans="1:7" ht="15" x14ac:dyDescent="0.25">
      <c r="A962" s="6">
        <v>64570</v>
      </c>
      <c r="B962" s="7" t="s">
        <v>3</v>
      </c>
      <c r="C962" s="7" t="s">
        <v>15</v>
      </c>
    </row>
    <row r="963" spans="1:7" ht="15" x14ac:dyDescent="0.25">
      <c r="A963" s="6">
        <v>64591</v>
      </c>
      <c r="B963" s="7" t="s">
        <v>3</v>
      </c>
      <c r="C963" s="7" t="s">
        <v>16</v>
      </c>
    </row>
    <row r="964" spans="1:7" ht="15" x14ac:dyDescent="0.25">
      <c r="A964" s="6">
        <v>64604</v>
      </c>
      <c r="B964" s="7" t="s">
        <v>19</v>
      </c>
      <c r="C964" s="7" t="s">
        <v>17</v>
      </c>
    </row>
    <row r="965" spans="1:7" ht="15" x14ac:dyDescent="0.25">
      <c r="A965" s="6">
        <v>64609</v>
      </c>
      <c r="B965" s="7" t="s">
        <v>7</v>
      </c>
      <c r="C965" s="7" t="s">
        <v>21</v>
      </c>
      <c r="G965" s="8"/>
    </row>
    <row r="966" spans="1:7" ht="15" x14ac:dyDescent="0.25">
      <c r="A966" s="6">
        <v>64644</v>
      </c>
      <c r="B966" s="7" t="s">
        <v>7</v>
      </c>
      <c r="C966" s="7" t="s">
        <v>18</v>
      </c>
    </row>
    <row r="967" spans="1:7" ht="15" x14ac:dyDescent="0.25">
      <c r="A967" s="4">
        <v>64651</v>
      </c>
      <c r="B967" s="5" t="s">
        <v>7</v>
      </c>
      <c r="C967" s="5" t="s">
        <v>4</v>
      </c>
    </row>
    <row r="968" spans="1:7" ht="15" x14ac:dyDescent="0.25">
      <c r="A968" s="4">
        <v>64703</v>
      </c>
      <c r="B968" s="5" t="s">
        <v>3</v>
      </c>
      <c r="C968" s="5" t="s">
        <v>5</v>
      </c>
    </row>
    <row r="969" spans="1:7" ht="15" x14ac:dyDescent="0.25">
      <c r="A969" s="4">
        <v>64704</v>
      </c>
      <c r="B969" s="5" t="s">
        <v>6</v>
      </c>
      <c r="C969" s="5" t="s">
        <v>5</v>
      </c>
    </row>
    <row r="970" spans="1:7" ht="15" x14ac:dyDescent="0.25">
      <c r="A970" s="4">
        <v>64749</v>
      </c>
      <c r="B970" s="5" t="s">
        <v>7</v>
      </c>
      <c r="C970" s="5" t="s">
        <v>8</v>
      </c>
    </row>
    <row r="971" spans="1:7" ht="15" x14ac:dyDescent="0.25">
      <c r="A971" s="4">
        <v>64761</v>
      </c>
      <c r="B971" s="5" t="s">
        <v>20</v>
      </c>
      <c r="C971" s="5" t="s">
        <v>10</v>
      </c>
    </row>
    <row r="972" spans="1:7" ht="15" x14ac:dyDescent="0.25">
      <c r="A972" s="4">
        <v>64771</v>
      </c>
      <c r="B972" s="5" t="s">
        <v>9</v>
      </c>
      <c r="C972" s="5" t="s">
        <v>11</v>
      </c>
    </row>
    <row r="973" spans="1:7" ht="15" x14ac:dyDescent="0.25">
      <c r="A973" s="4">
        <v>64811</v>
      </c>
      <c r="B973" s="5" t="s">
        <v>12</v>
      </c>
      <c r="C973" s="5" t="s">
        <v>13</v>
      </c>
    </row>
    <row r="974" spans="1:7" ht="15" x14ac:dyDescent="0.25">
      <c r="A974" s="4">
        <v>64900</v>
      </c>
      <c r="B974" s="5" t="s">
        <v>6</v>
      </c>
      <c r="C974" s="5" t="s">
        <v>14</v>
      </c>
    </row>
    <row r="975" spans="1:7" ht="15" x14ac:dyDescent="0.25">
      <c r="A975" s="4">
        <v>64935</v>
      </c>
      <c r="B975" s="5" t="s">
        <v>6</v>
      </c>
      <c r="C975" s="5" t="s">
        <v>15</v>
      </c>
    </row>
    <row r="976" spans="1:7" ht="15" x14ac:dyDescent="0.25">
      <c r="A976" s="4">
        <v>64956</v>
      </c>
      <c r="B976" s="5" t="s">
        <v>6</v>
      </c>
      <c r="C976" s="5" t="s">
        <v>16</v>
      </c>
    </row>
    <row r="977" spans="1:7" ht="15" x14ac:dyDescent="0.25">
      <c r="A977" s="4">
        <v>64969</v>
      </c>
      <c r="B977" s="5" t="s">
        <v>3</v>
      </c>
      <c r="C977" s="5" t="s">
        <v>17</v>
      </c>
    </row>
    <row r="978" spans="1:7" ht="15" x14ac:dyDescent="0.25">
      <c r="A978" s="4">
        <v>64974</v>
      </c>
      <c r="B978" s="5" t="s">
        <v>9</v>
      </c>
      <c r="C978" s="5" t="s">
        <v>21</v>
      </c>
      <c r="G978" s="8"/>
    </row>
    <row r="979" spans="1:7" ht="15" x14ac:dyDescent="0.25">
      <c r="A979" s="4">
        <v>65009</v>
      </c>
      <c r="B979" s="5" t="s">
        <v>9</v>
      </c>
      <c r="C979" s="5" t="s">
        <v>18</v>
      </c>
    </row>
    <row r="980" spans="1:7" ht="15" x14ac:dyDescent="0.25">
      <c r="A980" s="6">
        <v>65016</v>
      </c>
      <c r="B980" s="7" t="s">
        <v>9</v>
      </c>
      <c r="C980" s="7" t="s">
        <v>4</v>
      </c>
    </row>
    <row r="981" spans="1:7" ht="15" x14ac:dyDescent="0.25">
      <c r="A981" s="6">
        <v>65060</v>
      </c>
      <c r="B981" s="7" t="s">
        <v>3</v>
      </c>
      <c r="C981" s="7" t="s">
        <v>5</v>
      </c>
    </row>
    <row r="982" spans="1:7" ht="15" x14ac:dyDescent="0.25">
      <c r="A982" s="6">
        <v>65061</v>
      </c>
      <c r="B982" s="7" t="s">
        <v>6</v>
      </c>
      <c r="C982" s="7" t="s">
        <v>5</v>
      </c>
    </row>
    <row r="983" spans="1:7" ht="15" x14ac:dyDescent="0.25">
      <c r="A983" s="6">
        <v>65106</v>
      </c>
      <c r="B983" s="7" t="s">
        <v>7</v>
      </c>
      <c r="C983" s="7" t="s">
        <v>8</v>
      </c>
    </row>
    <row r="984" spans="1:7" ht="15" x14ac:dyDescent="0.25">
      <c r="A984" s="6">
        <v>65126</v>
      </c>
      <c r="B984" s="7" t="s">
        <v>12</v>
      </c>
      <c r="C984" s="7" t="s">
        <v>10</v>
      </c>
    </row>
    <row r="985" spans="1:7" ht="15" x14ac:dyDescent="0.25">
      <c r="A985" s="6">
        <v>65136</v>
      </c>
      <c r="B985" s="7" t="s">
        <v>19</v>
      </c>
      <c r="C985" s="7" t="s">
        <v>11</v>
      </c>
    </row>
    <row r="986" spans="1:7" ht="15" x14ac:dyDescent="0.25">
      <c r="A986" s="6">
        <v>65168</v>
      </c>
      <c r="B986" s="7" t="s">
        <v>12</v>
      </c>
      <c r="C986" s="7" t="s">
        <v>13</v>
      </c>
    </row>
    <row r="987" spans="1:7" ht="15" x14ac:dyDescent="0.25">
      <c r="A987" s="6">
        <v>65265</v>
      </c>
      <c r="B987" s="7" t="s">
        <v>20</v>
      </c>
      <c r="C987" s="7" t="s">
        <v>14</v>
      </c>
    </row>
    <row r="988" spans="1:7" ht="15" x14ac:dyDescent="0.25">
      <c r="A988" s="6">
        <v>65300</v>
      </c>
      <c r="B988" s="7" t="s">
        <v>20</v>
      </c>
      <c r="C988" s="7" t="s">
        <v>15</v>
      </c>
    </row>
    <row r="989" spans="1:7" ht="15" x14ac:dyDescent="0.25">
      <c r="A989" s="6">
        <v>65321</v>
      </c>
      <c r="B989" s="7" t="s">
        <v>20</v>
      </c>
      <c r="C989" s="7" t="s">
        <v>16</v>
      </c>
    </row>
    <row r="990" spans="1:7" ht="15" x14ac:dyDescent="0.25">
      <c r="A990" s="6">
        <v>65334</v>
      </c>
      <c r="B990" s="7" t="s">
        <v>6</v>
      </c>
      <c r="C990" s="7" t="s">
        <v>17</v>
      </c>
    </row>
    <row r="991" spans="1:7" ht="15" x14ac:dyDescent="0.25">
      <c r="A991" s="6">
        <v>65339</v>
      </c>
      <c r="B991" s="7" t="s">
        <v>19</v>
      </c>
      <c r="C991" s="7" t="s">
        <v>21</v>
      </c>
      <c r="G991" s="8"/>
    </row>
    <row r="992" spans="1:7" ht="15" x14ac:dyDescent="0.25">
      <c r="A992" s="6">
        <v>65374</v>
      </c>
      <c r="B992" s="7" t="s">
        <v>19</v>
      </c>
      <c r="C992" s="7" t="s">
        <v>18</v>
      </c>
    </row>
    <row r="993" spans="1:7" ht="15" x14ac:dyDescent="0.25">
      <c r="A993" s="4">
        <v>65381</v>
      </c>
      <c r="B993" s="5" t="s">
        <v>19</v>
      </c>
      <c r="C993" s="5" t="s">
        <v>4</v>
      </c>
    </row>
    <row r="994" spans="1:7" ht="15" x14ac:dyDescent="0.25">
      <c r="A994" s="4">
        <v>65445</v>
      </c>
      <c r="B994" s="5" t="s">
        <v>3</v>
      </c>
      <c r="C994" s="5" t="s">
        <v>5</v>
      </c>
    </row>
    <row r="995" spans="1:7" ht="15" x14ac:dyDescent="0.25">
      <c r="A995" s="4">
        <v>65446</v>
      </c>
      <c r="B995" s="5" t="s">
        <v>6</v>
      </c>
      <c r="C995" s="5" t="s">
        <v>5</v>
      </c>
    </row>
    <row r="996" spans="1:7" ht="15" x14ac:dyDescent="0.25">
      <c r="A996" s="4">
        <v>65491</v>
      </c>
      <c r="B996" s="5" t="s">
        <v>7</v>
      </c>
      <c r="C996" s="5" t="s">
        <v>8</v>
      </c>
    </row>
    <row r="997" spans="1:7" ht="15" x14ac:dyDescent="0.25">
      <c r="A997" s="4">
        <v>65491</v>
      </c>
      <c r="B997" s="5" t="s">
        <v>7</v>
      </c>
      <c r="C997" s="5" t="s">
        <v>10</v>
      </c>
    </row>
    <row r="998" spans="1:7" ht="15" x14ac:dyDescent="0.25">
      <c r="A998" s="4">
        <v>65501</v>
      </c>
      <c r="B998" s="5" t="s">
        <v>3</v>
      </c>
      <c r="C998" s="5" t="s">
        <v>11</v>
      </c>
    </row>
    <row r="999" spans="1:7" ht="15" x14ac:dyDescent="0.25">
      <c r="A999" s="4">
        <v>65553</v>
      </c>
      <c r="B999" s="5" t="s">
        <v>12</v>
      </c>
      <c r="C999" s="5" t="s">
        <v>13</v>
      </c>
    </row>
    <row r="1000" spans="1:7" ht="15" x14ac:dyDescent="0.25">
      <c r="A1000" s="4">
        <v>65630</v>
      </c>
      <c r="B1000" s="5" t="s">
        <v>12</v>
      </c>
      <c r="C1000" s="5" t="s">
        <v>14</v>
      </c>
    </row>
    <row r="1001" spans="1:7" ht="15" x14ac:dyDescent="0.25">
      <c r="A1001" s="4">
        <v>65665</v>
      </c>
      <c r="B1001" s="5" t="s">
        <v>12</v>
      </c>
      <c r="C1001" s="5" t="s">
        <v>15</v>
      </c>
    </row>
    <row r="1002" spans="1:7" ht="15" x14ac:dyDescent="0.25">
      <c r="A1002" s="4">
        <v>65686</v>
      </c>
      <c r="B1002" s="5" t="s">
        <v>12</v>
      </c>
      <c r="C1002" s="5" t="s">
        <v>16</v>
      </c>
    </row>
    <row r="1003" spans="1:7" ht="15" x14ac:dyDescent="0.25">
      <c r="A1003" s="4">
        <v>65699</v>
      </c>
      <c r="B1003" s="5" t="s">
        <v>20</v>
      </c>
      <c r="C1003" s="5" t="s">
        <v>17</v>
      </c>
    </row>
    <row r="1004" spans="1:7" ht="15" x14ac:dyDescent="0.25">
      <c r="A1004" s="4">
        <v>65704</v>
      </c>
      <c r="B1004" s="5" t="s">
        <v>3</v>
      </c>
      <c r="C1004" s="5" t="s">
        <v>21</v>
      </c>
      <c r="G1004" s="8"/>
    </row>
    <row r="1005" spans="1:7" ht="15" x14ac:dyDescent="0.25">
      <c r="A1005" s="4">
        <v>65739</v>
      </c>
      <c r="B1005" s="5" t="s">
        <v>3</v>
      </c>
      <c r="C1005" s="5" t="s">
        <v>18</v>
      </c>
    </row>
    <row r="1006" spans="1:7" ht="15" x14ac:dyDescent="0.25">
      <c r="A1006" s="6">
        <v>65746</v>
      </c>
      <c r="B1006" s="7" t="s">
        <v>3</v>
      </c>
      <c r="C1006" s="7" t="s">
        <v>4</v>
      </c>
    </row>
    <row r="1007" spans="1:7" ht="15" x14ac:dyDescent="0.25">
      <c r="A1007" s="6">
        <v>65795</v>
      </c>
      <c r="B1007" s="7" t="s">
        <v>3</v>
      </c>
      <c r="C1007" s="7" t="s">
        <v>5</v>
      </c>
    </row>
    <row r="1008" spans="1:7" ht="15" x14ac:dyDescent="0.25">
      <c r="A1008" s="6">
        <v>65796</v>
      </c>
      <c r="B1008" s="7" t="s">
        <v>6</v>
      </c>
      <c r="C1008" s="7" t="s">
        <v>5</v>
      </c>
    </row>
    <row r="1009" spans="1:7" ht="15" x14ac:dyDescent="0.25">
      <c r="A1009" s="6">
        <v>65841</v>
      </c>
      <c r="B1009" s="7" t="s">
        <v>7</v>
      </c>
      <c r="C1009" s="7" t="s">
        <v>8</v>
      </c>
    </row>
    <row r="1010" spans="1:7" ht="15" x14ac:dyDescent="0.25">
      <c r="A1010" s="6">
        <v>65857</v>
      </c>
      <c r="B1010" s="7" t="s">
        <v>19</v>
      </c>
      <c r="C1010" s="7" t="s">
        <v>10</v>
      </c>
    </row>
    <row r="1011" spans="1:7" ht="15" x14ac:dyDescent="0.25">
      <c r="A1011" s="6">
        <v>65867</v>
      </c>
      <c r="B1011" s="7" t="s">
        <v>20</v>
      </c>
      <c r="C1011" s="7" t="s">
        <v>11</v>
      </c>
    </row>
    <row r="1012" spans="1:7" ht="15" x14ac:dyDescent="0.25">
      <c r="A1012" s="6">
        <v>65903</v>
      </c>
      <c r="B1012" s="7" t="s">
        <v>12</v>
      </c>
      <c r="C1012" s="7" t="s">
        <v>13</v>
      </c>
    </row>
    <row r="1013" spans="1:7" ht="15" x14ac:dyDescent="0.25">
      <c r="A1013" s="6">
        <v>65996</v>
      </c>
      <c r="B1013" s="7" t="s">
        <v>9</v>
      </c>
      <c r="C1013" s="7" t="s">
        <v>14</v>
      </c>
    </row>
    <row r="1014" spans="1:7" ht="15" x14ac:dyDescent="0.25">
      <c r="A1014" s="6">
        <v>66031</v>
      </c>
      <c r="B1014" s="7" t="s">
        <v>9</v>
      </c>
      <c r="C1014" s="7" t="s">
        <v>15</v>
      </c>
    </row>
    <row r="1015" spans="1:7" ht="15" x14ac:dyDescent="0.25">
      <c r="A1015" s="6">
        <v>66052</v>
      </c>
      <c r="B1015" s="7" t="s">
        <v>9</v>
      </c>
      <c r="C1015" s="7" t="s">
        <v>16</v>
      </c>
    </row>
    <row r="1016" spans="1:7" ht="15" x14ac:dyDescent="0.25">
      <c r="A1016" s="6">
        <v>66065</v>
      </c>
      <c r="B1016" s="7" t="s">
        <v>7</v>
      </c>
      <c r="C1016" s="7" t="s">
        <v>17</v>
      </c>
    </row>
    <row r="1017" spans="1:7" ht="15" x14ac:dyDescent="0.25">
      <c r="A1017" s="6">
        <v>66070</v>
      </c>
      <c r="B1017" s="7" t="s">
        <v>20</v>
      </c>
      <c r="C1017" s="7" t="s">
        <v>21</v>
      </c>
      <c r="G1017" s="8"/>
    </row>
    <row r="1018" spans="1:7" ht="15" x14ac:dyDescent="0.25">
      <c r="A1018" s="6">
        <v>66105</v>
      </c>
      <c r="B1018" s="7" t="s">
        <v>20</v>
      </c>
      <c r="C1018" s="7" t="s">
        <v>18</v>
      </c>
    </row>
    <row r="1019" spans="1:7" ht="15" x14ac:dyDescent="0.25">
      <c r="A1019" s="4">
        <v>66112</v>
      </c>
      <c r="B1019" s="5" t="s">
        <v>20</v>
      </c>
      <c r="C1019" s="5" t="s">
        <v>4</v>
      </c>
    </row>
    <row r="1020" spans="1:7" ht="15" x14ac:dyDescent="0.25">
      <c r="A1020" s="4">
        <v>66152</v>
      </c>
      <c r="B1020" s="5" t="s">
        <v>3</v>
      </c>
      <c r="C1020" s="5" t="s">
        <v>5</v>
      </c>
    </row>
    <row r="1021" spans="1:7" ht="15" x14ac:dyDescent="0.25">
      <c r="A1021" s="4">
        <v>66153</v>
      </c>
      <c r="B1021" s="5" t="s">
        <v>6</v>
      </c>
      <c r="C1021" s="5" t="s">
        <v>5</v>
      </c>
    </row>
    <row r="1022" spans="1:7" ht="15" x14ac:dyDescent="0.25">
      <c r="A1022" s="4">
        <v>66198</v>
      </c>
      <c r="B1022" s="5" t="s">
        <v>7</v>
      </c>
      <c r="C1022" s="5" t="s">
        <v>8</v>
      </c>
    </row>
    <row r="1023" spans="1:7" ht="15" x14ac:dyDescent="0.25">
      <c r="A1023" s="4">
        <v>66222</v>
      </c>
      <c r="B1023" s="5" t="s">
        <v>3</v>
      </c>
      <c r="C1023" s="5" t="s">
        <v>10</v>
      </c>
    </row>
    <row r="1024" spans="1:7" ht="15" x14ac:dyDescent="0.25">
      <c r="A1024" s="4">
        <v>66232</v>
      </c>
      <c r="B1024" s="5" t="s">
        <v>12</v>
      </c>
      <c r="C1024" s="5" t="s">
        <v>11</v>
      </c>
    </row>
    <row r="1025" spans="1:7" ht="15" x14ac:dyDescent="0.25">
      <c r="A1025" s="4">
        <v>66260</v>
      </c>
      <c r="B1025" s="5" t="s">
        <v>12</v>
      </c>
      <c r="C1025" s="5" t="s">
        <v>13</v>
      </c>
    </row>
    <row r="1026" spans="1:7" ht="15" x14ac:dyDescent="0.25">
      <c r="A1026" s="4">
        <v>66361</v>
      </c>
      <c r="B1026" s="5" t="s">
        <v>19</v>
      </c>
      <c r="C1026" s="5" t="s">
        <v>14</v>
      </c>
    </row>
    <row r="1027" spans="1:7" ht="15" x14ac:dyDescent="0.25">
      <c r="A1027" s="4">
        <v>66396</v>
      </c>
      <c r="B1027" s="5" t="s">
        <v>19</v>
      </c>
      <c r="C1027" s="5" t="s">
        <v>15</v>
      </c>
    </row>
    <row r="1028" spans="1:7" ht="15" x14ac:dyDescent="0.25">
      <c r="A1028" s="4">
        <v>66417</v>
      </c>
      <c r="B1028" s="5" t="s">
        <v>19</v>
      </c>
      <c r="C1028" s="5" t="s">
        <v>16</v>
      </c>
    </row>
    <row r="1029" spans="1:7" ht="15" x14ac:dyDescent="0.25">
      <c r="A1029" s="4">
        <v>66430</v>
      </c>
      <c r="B1029" s="5" t="s">
        <v>9</v>
      </c>
      <c r="C1029" s="5" t="s">
        <v>17</v>
      </c>
    </row>
    <row r="1030" spans="1:7" ht="15" x14ac:dyDescent="0.25">
      <c r="A1030" s="4">
        <v>66435</v>
      </c>
      <c r="B1030" s="5" t="s">
        <v>12</v>
      </c>
      <c r="C1030" s="5" t="s">
        <v>21</v>
      </c>
      <c r="G1030" s="8"/>
    </row>
    <row r="1031" spans="1:7" ht="15" x14ac:dyDescent="0.25">
      <c r="A1031" s="4">
        <v>66470</v>
      </c>
      <c r="B1031" s="5" t="s">
        <v>12</v>
      </c>
      <c r="C1031" s="5" t="s">
        <v>18</v>
      </c>
    </row>
    <row r="1032" spans="1:7" ht="15" x14ac:dyDescent="0.25">
      <c r="A1032" s="6">
        <v>66477</v>
      </c>
      <c r="B1032" s="7" t="s">
        <v>12</v>
      </c>
      <c r="C1032" s="7" t="s">
        <v>4</v>
      </c>
    </row>
    <row r="1033" spans="1:7" ht="15" x14ac:dyDescent="0.25">
      <c r="A1033" s="6">
        <v>66537</v>
      </c>
      <c r="B1033" s="7" t="s">
        <v>3</v>
      </c>
      <c r="C1033" s="7" t="s">
        <v>5</v>
      </c>
    </row>
    <row r="1034" spans="1:7" ht="15" x14ac:dyDescent="0.25">
      <c r="A1034" s="6">
        <v>66538</v>
      </c>
      <c r="B1034" s="7" t="s">
        <v>6</v>
      </c>
      <c r="C1034" s="7" t="s">
        <v>5</v>
      </c>
    </row>
    <row r="1035" spans="1:7" ht="15" x14ac:dyDescent="0.25">
      <c r="A1035" s="6">
        <v>66583</v>
      </c>
      <c r="B1035" s="7" t="s">
        <v>7</v>
      </c>
      <c r="C1035" s="7" t="s">
        <v>8</v>
      </c>
    </row>
    <row r="1036" spans="1:7" ht="15" x14ac:dyDescent="0.25">
      <c r="A1036" s="6">
        <v>66587</v>
      </c>
      <c r="B1036" s="7" t="s">
        <v>6</v>
      </c>
      <c r="C1036" s="7" t="s">
        <v>10</v>
      </c>
    </row>
    <row r="1037" spans="1:7" ht="15" x14ac:dyDescent="0.25">
      <c r="A1037" s="6">
        <v>66597</v>
      </c>
      <c r="B1037" s="7" t="s">
        <v>7</v>
      </c>
      <c r="C1037" s="7" t="s">
        <v>11</v>
      </c>
    </row>
    <row r="1038" spans="1:7" ht="15" x14ac:dyDescent="0.25">
      <c r="A1038" s="6">
        <v>66645</v>
      </c>
      <c r="B1038" s="7" t="s">
        <v>12</v>
      </c>
      <c r="C1038" s="7" t="s">
        <v>13</v>
      </c>
    </row>
    <row r="1039" spans="1:7" ht="15" x14ac:dyDescent="0.25">
      <c r="A1039" s="6">
        <v>66726</v>
      </c>
      <c r="B1039" s="7" t="s">
        <v>3</v>
      </c>
      <c r="C1039" s="7" t="s">
        <v>14</v>
      </c>
    </row>
    <row r="1040" spans="1:7" ht="15" x14ac:dyDescent="0.25">
      <c r="A1040" s="6">
        <v>66761</v>
      </c>
      <c r="B1040" s="7" t="s">
        <v>3</v>
      </c>
      <c r="C1040" s="7" t="s">
        <v>15</v>
      </c>
    </row>
    <row r="1041" spans="1:7" ht="15" x14ac:dyDescent="0.25">
      <c r="A1041" s="6">
        <v>66782</v>
      </c>
      <c r="B1041" s="7" t="s">
        <v>3</v>
      </c>
      <c r="C1041" s="7" t="s">
        <v>16</v>
      </c>
    </row>
    <row r="1042" spans="1:7" ht="15" x14ac:dyDescent="0.25">
      <c r="A1042" s="6">
        <v>66795</v>
      </c>
      <c r="B1042" s="7" t="s">
        <v>19</v>
      </c>
      <c r="C1042" s="7" t="s">
        <v>17</v>
      </c>
    </row>
    <row r="1043" spans="1:7" ht="15" x14ac:dyDescent="0.25">
      <c r="A1043" s="6">
        <v>66800</v>
      </c>
      <c r="B1043" s="7" t="s">
        <v>7</v>
      </c>
      <c r="C1043" s="7" t="s">
        <v>21</v>
      </c>
      <c r="G1043" s="8"/>
    </row>
    <row r="1044" spans="1:7" ht="15" x14ac:dyDescent="0.25">
      <c r="A1044" s="6">
        <v>66835</v>
      </c>
      <c r="B1044" s="7" t="s">
        <v>7</v>
      </c>
      <c r="C1044" s="7" t="s">
        <v>18</v>
      </c>
    </row>
    <row r="1045" spans="1:7" ht="15" x14ac:dyDescent="0.25">
      <c r="A1045" s="4">
        <v>66842</v>
      </c>
      <c r="B1045" s="5" t="s">
        <v>7</v>
      </c>
      <c r="C1045" s="5" t="s">
        <v>4</v>
      </c>
    </row>
    <row r="1046" spans="1:7" ht="15" x14ac:dyDescent="0.25">
      <c r="A1046" s="4">
        <v>66887</v>
      </c>
      <c r="B1046" s="5" t="s">
        <v>3</v>
      </c>
      <c r="C1046" s="5" t="s">
        <v>5</v>
      </c>
    </row>
    <row r="1047" spans="1:7" ht="15" x14ac:dyDescent="0.25">
      <c r="A1047" s="4">
        <v>66888</v>
      </c>
      <c r="B1047" s="5" t="s">
        <v>6</v>
      </c>
      <c r="C1047" s="5" t="s">
        <v>5</v>
      </c>
    </row>
    <row r="1048" spans="1:7" ht="15" x14ac:dyDescent="0.25">
      <c r="A1048" s="4">
        <v>66933</v>
      </c>
      <c r="B1048" s="5" t="s">
        <v>7</v>
      </c>
      <c r="C1048" s="5" t="s">
        <v>8</v>
      </c>
    </row>
    <row r="1049" spans="1:7" ht="15" x14ac:dyDescent="0.25">
      <c r="A1049" s="4">
        <v>66952</v>
      </c>
      <c r="B1049" s="5" t="s">
        <v>20</v>
      </c>
      <c r="C1049" s="5" t="s">
        <v>10</v>
      </c>
    </row>
    <row r="1050" spans="1:7" ht="15" x14ac:dyDescent="0.25">
      <c r="A1050" s="4">
        <v>66962</v>
      </c>
      <c r="B1050" s="5" t="s">
        <v>9</v>
      </c>
      <c r="C1050" s="5" t="s">
        <v>11</v>
      </c>
    </row>
    <row r="1051" spans="1:7" ht="15" x14ac:dyDescent="0.25">
      <c r="A1051" s="4">
        <v>66995</v>
      </c>
      <c r="B1051" s="5" t="s">
        <v>12</v>
      </c>
      <c r="C1051" s="5" t="s">
        <v>13</v>
      </c>
    </row>
    <row r="1052" spans="1:7" ht="15" x14ac:dyDescent="0.25">
      <c r="A1052" s="4">
        <v>67091</v>
      </c>
      <c r="B1052" s="5" t="s">
        <v>6</v>
      </c>
      <c r="C1052" s="5" t="s">
        <v>14</v>
      </c>
    </row>
    <row r="1053" spans="1:7" ht="15" x14ac:dyDescent="0.25">
      <c r="A1053" s="4">
        <v>67126</v>
      </c>
      <c r="B1053" s="5" t="s">
        <v>6</v>
      </c>
      <c r="C1053" s="5" t="s">
        <v>15</v>
      </c>
    </row>
    <row r="1054" spans="1:7" ht="15" x14ac:dyDescent="0.25">
      <c r="A1054" s="4">
        <v>67147</v>
      </c>
      <c r="B1054" s="5" t="s">
        <v>6</v>
      </c>
      <c r="C1054" s="5" t="s">
        <v>16</v>
      </c>
    </row>
    <row r="1055" spans="1:7" ht="15" x14ac:dyDescent="0.25">
      <c r="A1055" s="4">
        <v>67160</v>
      </c>
      <c r="B1055" s="5" t="s">
        <v>3</v>
      </c>
      <c r="C1055" s="5" t="s">
        <v>17</v>
      </c>
    </row>
    <row r="1056" spans="1:7" ht="15" x14ac:dyDescent="0.25">
      <c r="A1056" s="4">
        <v>67165</v>
      </c>
      <c r="B1056" s="5" t="s">
        <v>9</v>
      </c>
      <c r="C1056" s="5" t="s">
        <v>21</v>
      </c>
      <c r="G1056" s="8"/>
    </row>
    <row r="1057" spans="1:7" ht="15" x14ac:dyDescent="0.25">
      <c r="A1057" s="4">
        <v>67200</v>
      </c>
      <c r="B1057" s="5" t="s">
        <v>9</v>
      </c>
      <c r="C1057" s="5" t="s">
        <v>18</v>
      </c>
    </row>
    <row r="1058" spans="1:7" ht="15" x14ac:dyDescent="0.25">
      <c r="A1058" s="6">
        <v>67207</v>
      </c>
      <c r="B1058" s="7" t="s">
        <v>9</v>
      </c>
      <c r="C1058" s="7" t="s">
        <v>4</v>
      </c>
    </row>
    <row r="1059" spans="1:7" ht="15" x14ac:dyDescent="0.25">
      <c r="A1059" s="6">
        <v>67244</v>
      </c>
      <c r="B1059" s="7" t="s">
        <v>3</v>
      </c>
      <c r="C1059" s="7" t="s">
        <v>5</v>
      </c>
    </row>
    <row r="1060" spans="1:7" ht="15" x14ac:dyDescent="0.25">
      <c r="A1060" s="6">
        <v>67245</v>
      </c>
      <c r="B1060" s="7" t="s">
        <v>6</v>
      </c>
      <c r="C1060" s="7" t="s">
        <v>5</v>
      </c>
    </row>
    <row r="1061" spans="1:7" ht="15" x14ac:dyDescent="0.25">
      <c r="A1061" s="6">
        <v>67290</v>
      </c>
      <c r="B1061" s="7" t="s">
        <v>7</v>
      </c>
      <c r="C1061" s="7" t="s">
        <v>8</v>
      </c>
    </row>
    <row r="1062" spans="1:7" ht="15" x14ac:dyDescent="0.25">
      <c r="A1062" s="6">
        <v>67318</v>
      </c>
      <c r="B1062" s="7" t="s">
        <v>7</v>
      </c>
      <c r="C1062" s="7" t="s">
        <v>10</v>
      </c>
    </row>
    <row r="1063" spans="1:7" ht="15" x14ac:dyDescent="0.25">
      <c r="A1063" s="6">
        <v>67328</v>
      </c>
      <c r="B1063" s="7" t="s">
        <v>3</v>
      </c>
      <c r="C1063" s="7" t="s">
        <v>11</v>
      </c>
    </row>
    <row r="1064" spans="1:7" ht="15" x14ac:dyDescent="0.25">
      <c r="A1064" s="6">
        <v>67352</v>
      </c>
      <c r="B1064" s="7" t="s">
        <v>12</v>
      </c>
      <c r="C1064" s="7" t="s">
        <v>13</v>
      </c>
    </row>
    <row r="1065" spans="1:7" ht="15" x14ac:dyDescent="0.25">
      <c r="A1065" s="6">
        <v>67457</v>
      </c>
      <c r="B1065" s="7" t="s">
        <v>12</v>
      </c>
      <c r="C1065" s="7" t="s">
        <v>14</v>
      </c>
    </row>
    <row r="1066" spans="1:7" ht="15" x14ac:dyDescent="0.25">
      <c r="A1066" s="6">
        <v>67492</v>
      </c>
      <c r="B1066" s="7" t="s">
        <v>12</v>
      </c>
      <c r="C1066" s="7" t="s">
        <v>15</v>
      </c>
    </row>
    <row r="1067" spans="1:7" ht="15" x14ac:dyDescent="0.25">
      <c r="A1067" s="6">
        <v>67513</v>
      </c>
      <c r="B1067" s="7" t="s">
        <v>12</v>
      </c>
      <c r="C1067" s="7" t="s">
        <v>16</v>
      </c>
    </row>
    <row r="1068" spans="1:7" ht="15" x14ac:dyDescent="0.25">
      <c r="A1068" s="6">
        <v>67526</v>
      </c>
      <c r="B1068" s="7" t="s">
        <v>20</v>
      </c>
      <c r="C1068" s="7" t="s">
        <v>17</v>
      </c>
    </row>
    <row r="1069" spans="1:7" ht="15" x14ac:dyDescent="0.25">
      <c r="A1069" s="6">
        <v>67531</v>
      </c>
      <c r="B1069" s="7" t="s">
        <v>3</v>
      </c>
      <c r="C1069" s="7" t="s">
        <v>21</v>
      </c>
      <c r="G1069" s="8"/>
    </row>
    <row r="1070" spans="1:7" ht="15" x14ac:dyDescent="0.25">
      <c r="A1070" s="6">
        <v>67566</v>
      </c>
      <c r="B1070" s="7" t="s">
        <v>3</v>
      </c>
      <c r="C1070" s="7" t="s">
        <v>18</v>
      </c>
    </row>
    <row r="1071" spans="1:7" ht="15" x14ac:dyDescent="0.25">
      <c r="A1071" s="4">
        <v>67573</v>
      </c>
      <c r="B1071" s="5" t="s">
        <v>3</v>
      </c>
      <c r="C1071" s="5" t="s">
        <v>4</v>
      </c>
    </row>
    <row r="1072" spans="1:7" ht="15" x14ac:dyDescent="0.25">
      <c r="A1072" s="4">
        <v>67629</v>
      </c>
      <c r="B1072" s="5" t="s">
        <v>3</v>
      </c>
      <c r="C1072" s="5" t="s">
        <v>5</v>
      </c>
    </row>
    <row r="1073" spans="1:7" ht="15" x14ac:dyDescent="0.25">
      <c r="A1073" s="4">
        <v>67630</v>
      </c>
      <c r="B1073" s="5" t="s">
        <v>6</v>
      </c>
      <c r="C1073" s="5" t="s">
        <v>5</v>
      </c>
    </row>
    <row r="1074" spans="1:7" ht="15" x14ac:dyDescent="0.25">
      <c r="A1074" s="4">
        <v>67675</v>
      </c>
      <c r="B1074" s="5" t="s">
        <v>7</v>
      </c>
      <c r="C1074" s="5" t="s">
        <v>8</v>
      </c>
    </row>
    <row r="1075" spans="1:7" ht="15" x14ac:dyDescent="0.25">
      <c r="A1075" s="4">
        <v>67683</v>
      </c>
      <c r="B1075" s="5" t="s">
        <v>9</v>
      </c>
      <c r="C1075" s="5" t="s">
        <v>10</v>
      </c>
    </row>
    <row r="1076" spans="1:7" ht="15" x14ac:dyDescent="0.25">
      <c r="A1076" s="4">
        <v>67693</v>
      </c>
      <c r="B1076" s="5" t="s">
        <v>6</v>
      </c>
      <c r="C1076" s="5" t="s">
        <v>11</v>
      </c>
    </row>
    <row r="1077" spans="1:7" ht="15" x14ac:dyDescent="0.25">
      <c r="A1077" s="4">
        <v>67737</v>
      </c>
      <c r="B1077" s="5" t="s">
        <v>12</v>
      </c>
      <c r="C1077" s="5" t="s">
        <v>13</v>
      </c>
    </row>
    <row r="1078" spans="1:7" ht="15" x14ac:dyDescent="0.25">
      <c r="A1078" s="4">
        <v>67822</v>
      </c>
      <c r="B1078" s="5" t="s">
        <v>7</v>
      </c>
      <c r="C1078" s="5" t="s">
        <v>14</v>
      </c>
    </row>
    <row r="1079" spans="1:7" ht="15" x14ac:dyDescent="0.25">
      <c r="A1079" s="4">
        <v>67857</v>
      </c>
      <c r="B1079" s="5" t="s">
        <v>7</v>
      </c>
      <c r="C1079" s="5" t="s">
        <v>15</v>
      </c>
    </row>
    <row r="1080" spans="1:7" ht="15" x14ac:dyDescent="0.25">
      <c r="A1080" s="4">
        <v>67878</v>
      </c>
      <c r="B1080" s="5" t="s">
        <v>7</v>
      </c>
      <c r="C1080" s="5" t="s">
        <v>16</v>
      </c>
    </row>
    <row r="1081" spans="1:7" ht="15" x14ac:dyDescent="0.25">
      <c r="A1081" s="4">
        <v>67891</v>
      </c>
      <c r="B1081" s="5" t="s">
        <v>12</v>
      </c>
      <c r="C1081" s="5" t="s">
        <v>17</v>
      </c>
    </row>
    <row r="1082" spans="1:7" ht="15" x14ac:dyDescent="0.25">
      <c r="A1082" s="4">
        <v>67896</v>
      </c>
      <c r="B1082" s="5" t="s">
        <v>6</v>
      </c>
      <c r="C1082" s="5" t="s">
        <v>21</v>
      </c>
      <c r="G1082" s="8"/>
    </row>
    <row r="1083" spans="1:7" ht="15" x14ac:dyDescent="0.25">
      <c r="A1083" s="4">
        <v>67931</v>
      </c>
      <c r="B1083" s="5" t="s">
        <v>6</v>
      </c>
      <c r="C1083" s="5" t="s">
        <v>18</v>
      </c>
    </row>
    <row r="1084" spans="1:7" ht="15" x14ac:dyDescent="0.25">
      <c r="A1084" s="6">
        <v>67938</v>
      </c>
      <c r="B1084" s="7" t="s">
        <v>6</v>
      </c>
      <c r="C1084" s="7" t="s">
        <v>4</v>
      </c>
    </row>
    <row r="1085" spans="1:7" ht="15" x14ac:dyDescent="0.25">
      <c r="A1085" s="6">
        <v>67979</v>
      </c>
      <c r="B1085" s="7" t="s">
        <v>3</v>
      </c>
      <c r="C1085" s="7" t="s">
        <v>5</v>
      </c>
    </row>
    <row r="1086" spans="1:7" ht="15" x14ac:dyDescent="0.25">
      <c r="A1086" s="6">
        <v>67980</v>
      </c>
      <c r="B1086" s="7" t="s">
        <v>6</v>
      </c>
      <c r="C1086" s="7" t="s">
        <v>5</v>
      </c>
    </row>
    <row r="1087" spans="1:7" ht="15" x14ac:dyDescent="0.25">
      <c r="A1087" s="6">
        <v>68025</v>
      </c>
      <c r="B1087" s="7" t="s">
        <v>7</v>
      </c>
      <c r="C1087" s="7" t="s">
        <v>8</v>
      </c>
    </row>
    <row r="1088" spans="1:7" ht="15" x14ac:dyDescent="0.25">
      <c r="A1088" s="6">
        <v>68048</v>
      </c>
      <c r="B1088" s="7" t="s">
        <v>19</v>
      </c>
      <c r="C1088" s="7" t="s">
        <v>10</v>
      </c>
    </row>
    <row r="1089" spans="1:7" ht="15" x14ac:dyDescent="0.25">
      <c r="A1089" s="6">
        <v>68058</v>
      </c>
      <c r="B1089" s="7" t="s">
        <v>20</v>
      </c>
      <c r="C1089" s="7" t="s">
        <v>11</v>
      </c>
    </row>
    <row r="1090" spans="1:7" ht="15" x14ac:dyDescent="0.25">
      <c r="A1090" s="6">
        <v>68087</v>
      </c>
      <c r="B1090" s="7" t="s">
        <v>12</v>
      </c>
      <c r="C1090" s="7" t="s">
        <v>13</v>
      </c>
    </row>
    <row r="1091" spans="1:7" ht="15" x14ac:dyDescent="0.25">
      <c r="A1091" s="6">
        <v>68187</v>
      </c>
      <c r="B1091" s="7" t="s">
        <v>9</v>
      </c>
      <c r="C1091" s="7" t="s">
        <v>14</v>
      </c>
    </row>
    <row r="1092" spans="1:7" ht="15" x14ac:dyDescent="0.25">
      <c r="A1092" s="6">
        <v>68222</v>
      </c>
      <c r="B1092" s="7" t="s">
        <v>9</v>
      </c>
      <c r="C1092" s="7" t="s">
        <v>15</v>
      </c>
    </row>
    <row r="1093" spans="1:7" ht="15" x14ac:dyDescent="0.25">
      <c r="A1093" s="6">
        <v>68243</v>
      </c>
      <c r="B1093" s="7" t="s">
        <v>9</v>
      </c>
      <c r="C1093" s="7" t="s">
        <v>16</v>
      </c>
    </row>
    <row r="1094" spans="1:7" ht="15" x14ac:dyDescent="0.25">
      <c r="A1094" s="6">
        <v>68256</v>
      </c>
      <c r="B1094" s="7" t="s">
        <v>7</v>
      </c>
      <c r="C1094" s="7" t="s">
        <v>17</v>
      </c>
    </row>
    <row r="1095" spans="1:7" ht="15" x14ac:dyDescent="0.25">
      <c r="A1095" s="6">
        <v>68261</v>
      </c>
      <c r="B1095" s="7" t="s">
        <v>20</v>
      </c>
      <c r="C1095" s="7" t="s">
        <v>21</v>
      </c>
      <c r="G1095" s="8"/>
    </row>
    <row r="1096" spans="1:7" ht="15" x14ac:dyDescent="0.25">
      <c r="A1096" s="6">
        <v>68296</v>
      </c>
      <c r="B1096" s="7" t="s">
        <v>20</v>
      </c>
      <c r="C1096" s="7" t="s">
        <v>18</v>
      </c>
    </row>
    <row r="1097" spans="1:7" ht="15" x14ac:dyDescent="0.25">
      <c r="A1097" s="4">
        <v>68303</v>
      </c>
      <c r="B1097" s="5" t="s">
        <v>20</v>
      </c>
      <c r="C1097" s="5" t="s">
        <v>4</v>
      </c>
    </row>
    <row r="1098" spans="1:7" ht="15" x14ac:dyDescent="0.25">
      <c r="A1098" s="4">
        <v>68364</v>
      </c>
      <c r="B1098" s="5" t="s">
        <v>3</v>
      </c>
      <c r="C1098" s="5" t="s">
        <v>5</v>
      </c>
    </row>
    <row r="1099" spans="1:7" ht="15" x14ac:dyDescent="0.25">
      <c r="A1099" s="4">
        <v>68365</v>
      </c>
      <c r="B1099" s="5" t="s">
        <v>6</v>
      </c>
      <c r="C1099" s="5" t="s">
        <v>5</v>
      </c>
    </row>
    <row r="1100" spans="1:7" ht="15" x14ac:dyDescent="0.25">
      <c r="A1100" s="4">
        <v>68410</v>
      </c>
      <c r="B1100" s="5" t="s">
        <v>7</v>
      </c>
      <c r="C1100" s="5" t="s">
        <v>8</v>
      </c>
    </row>
    <row r="1101" spans="1:7" ht="15" x14ac:dyDescent="0.25">
      <c r="A1101" s="4">
        <v>68413</v>
      </c>
      <c r="B1101" s="5" t="s">
        <v>3</v>
      </c>
      <c r="C1101" s="5" t="s">
        <v>10</v>
      </c>
    </row>
    <row r="1102" spans="1:7" ht="15" x14ac:dyDescent="0.25">
      <c r="A1102" s="4">
        <v>68423</v>
      </c>
      <c r="B1102" s="5" t="s">
        <v>12</v>
      </c>
      <c r="C1102" s="5" t="s">
        <v>11</v>
      </c>
    </row>
    <row r="1103" spans="1:7" ht="15" x14ac:dyDescent="0.25">
      <c r="A1103" s="4">
        <v>68472</v>
      </c>
      <c r="B1103" s="5" t="s">
        <v>12</v>
      </c>
      <c r="C1103" s="5" t="s">
        <v>13</v>
      </c>
    </row>
    <row r="1104" spans="1:7" ht="15" x14ac:dyDescent="0.25">
      <c r="A1104" s="4">
        <v>68552</v>
      </c>
      <c r="B1104" s="5" t="s">
        <v>19</v>
      </c>
      <c r="C1104" s="5" t="s">
        <v>14</v>
      </c>
    </row>
    <row r="1105" spans="1:7" ht="15" x14ac:dyDescent="0.25">
      <c r="A1105" s="4">
        <v>68587</v>
      </c>
      <c r="B1105" s="5" t="s">
        <v>19</v>
      </c>
      <c r="C1105" s="5" t="s">
        <v>15</v>
      </c>
    </row>
    <row r="1106" spans="1:7" ht="15" x14ac:dyDescent="0.25">
      <c r="A1106" s="4">
        <v>68608</v>
      </c>
      <c r="B1106" s="5" t="s">
        <v>19</v>
      </c>
      <c r="C1106" s="5" t="s">
        <v>16</v>
      </c>
    </row>
    <row r="1107" spans="1:7" ht="15" x14ac:dyDescent="0.25">
      <c r="A1107" s="4">
        <v>68621</v>
      </c>
      <c r="B1107" s="5" t="s">
        <v>9</v>
      </c>
      <c r="C1107" s="5" t="s">
        <v>17</v>
      </c>
    </row>
    <row r="1108" spans="1:7" ht="15" x14ac:dyDescent="0.25">
      <c r="A1108" s="4">
        <v>68626</v>
      </c>
      <c r="B1108" s="5" t="s">
        <v>12</v>
      </c>
      <c r="C1108" s="5" t="s">
        <v>21</v>
      </c>
      <c r="G1108" s="8"/>
    </row>
    <row r="1109" spans="1:7" ht="15" x14ac:dyDescent="0.25">
      <c r="A1109" s="4">
        <v>68661</v>
      </c>
      <c r="B1109" s="5" t="s">
        <v>12</v>
      </c>
      <c r="C1109" s="5" t="s">
        <v>18</v>
      </c>
    </row>
    <row r="1110" spans="1:7" ht="15" x14ac:dyDescent="0.25">
      <c r="A1110" s="6">
        <v>68668</v>
      </c>
      <c r="B1110" s="7" t="s">
        <v>12</v>
      </c>
      <c r="C1110" s="7" t="s">
        <v>4</v>
      </c>
    </row>
    <row r="1111" spans="1:7" ht="15" x14ac:dyDescent="0.25">
      <c r="A1111" s="6">
        <v>68721</v>
      </c>
      <c r="B1111" s="7" t="s">
        <v>3</v>
      </c>
      <c r="C1111" s="7" t="s">
        <v>5</v>
      </c>
    </row>
    <row r="1112" spans="1:7" ht="15" x14ac:dyDescent="0.25">
      <c r="A1112" s="6">
        <v>68722</v>
      </c>
      <c r="B1112" s="7" t="s">
        <v>6</v>
      </c>
      <c r="C1112" s="7" t="s">
        <v>5</v>
      </c>
    </row>
    <row r="1113" spans="1:7" ht="15" x14ac:dyDescent="0.25">
      <c r="A1113" s="6">
        <v>68767</v>
      </c>
      <c r="B1113" s="7" t="s">
        <v>7</v>
      </c>
      <c r="C1113" s="7" t="s">
        <v>8</v>
      </c>
    </row>
    <row r="1114" spans="1:7" ht="15" x14ac:dyDescent="0.25">
      <c r="A1114" s="6">
        <v>68779</v>
      </c>
      <c r="B1114" s="7" t="s">
        <v>20</v>
      </c>
      <c r="C1114" s="7" t="s">
        <v>10</v>
      </c>
    </row>
    <row r="1115" spans="1:7" ht="15" x14ac:dyDescent="0.25">
      <c r="A1115" s="6">
        <v>68789</v>
      </c>
      <c r="B1115" s="7" t="s">
        <v>9</v>
      </c>
      <c r="C1115" s="7" t="s">
        <v>11</v>
      </c>
    </row>
    <row r="1116" spans="1:7" ht="15" x14ac:dyDescent="0.25">
      <c r="A1116" s="6">
        <v>68829</v>
      </c>
      <c r="B1116" s="7" t="s">
        <v>12</v>
      </c>
      <c r="C1116" s="7" t="s">
        <v>13</v>
      </c>
    </row>
    <row r="1117" spans="1:7" ht="15" x14ac:dyDescent="0.25">
      <c r="A1117" s="6">
        <v>68918</v>
      </c>
      <c r="B1117" s="7" t="s">
        <v>6</v>
      </c>
      <c r="C1117" s="7" t="s">
        <v>14</v>
      </c>
    </row>
    <row r="1118" spans="1:7" ht="15" x14ac:dyDescent="0.25">
      <c r="A1118" s="6">
        <v>68953</v>
      </c>
      <c r="B1118" s="7" t="s">
        <v>6</v>
      </c>
      <c r="C1118" s="7" t="s">
        <v>15</v>
      </c>
    </row>
    <row r="1119" spans="1:7" ht="15" x14ac:dyDescent="0.25">
      <c r="A1119" s="6">
        <v>68974</v>
      </c>
      <c r="B1119" s="7" t="s">
        <v>6</v>
      </c>
      <c r="C1119" s="7" t="s">
        <v>16</v>
      </c>
    </row>
    <row r="1120" spans="1:7" ht="15" x14ac:dyDescent="0.25">
      <c r="A1120" s="6">
        <v>68987</v>
      </c>
      <c r="B1120" s="7" t="s">
        <v>3</v>
      </c>
      <c r="C1120" s="7" t="s">
        <v>17</v>
      </c>
    </row>
    <row r="1121" spans="1:7" ht="15" x14ac:dyDescent="0.25">
      <c r="A1121" s="6">
        <v>68992</v>
      </c>
      <c r="B1121" s="7" t="s">
        <v>9</v>
      </c>
      <c r="C1121" s="7" t="s">
        <v>21</v>
      </c>
      <c r="G1121" s="8"/>
    </row>
    <row r="1122" spans="1:7" ht="15" x14ac:dyDescent="0.25">
      <c r="A1122" s="6">
        <v>69027</v>
      </c>
      <c r="B1122" s="7" t="s">
        <v>9</v>
      </c>
      <c r="C1122" s="7" t="s">
        <v>18</v>
      </c>
    </row>
    <row r="1123" spans="1:7" ht="15" x14ac:dyDescent="0.25">
      <c r="A1123" s="4">
        <v>69034</v>
      </c>
      <c r="B1123" s="5" t="s">
        <v>9</v>
      </c>
      <c r="C1123" s="5" t="s">
        <v>4</v>
      </c>
    </row>
    <row r="1124" spans="1:7" ht="15" x14ac:dyDescent="0.25">
      <c r="A1124" s="4">
        <v>69078</v>
      </c>
      <c r="B1124" s="5" t="s">
        <v>3</v>
      </c>
      <c r="C1124" s="5" t="s">
        <v>5</v>
      </c>
    </row>
    <row r="1125" spans="1:7" ht="15" x14ac:dyDescent="0.25">
      <c r="A1125" s="4">
        <v>69079</v>
      </c>
      <c r="B1125" s="5" t="s">
        <v>6</v>
      </c>
      <c r="C1125" s="5" t="s">
        <v>5</v>
      </c>
    </row>
    <row r="1126" spans="1:7" ht="15" x14ac:dyDescent="0.25">
      <c r="A1126" s="4">
        <v>69124</v>
      </c>
      <c r="B1126" s="5" t="s">
        <v>7</v>
      </c>
      <c r="C1126" s="5" t="s">
        <v>8</v>
      </c>
    </row>
    <row r="1127" spans="1:7" ht="15" x14ac:dyDescent="0.25">
      <c r="A1127" s="4">
        <v>69144</v>
      </c>
      <c r="B1127" s="5" t="s">
        <v>12</v>
      </c>
      <c r="C1127" s="5" t="s">
        <v>10</v>
      </c>
    </row>
    <row r="1128" spans="1:7" ht="15" x14ac:dyDescent="0.25">
      <c r="A1128" s="4">
        <v>69154</v>
      </c>
      <c r="B1128" s="5" t="s">
        <v>19</v>
      </c>
      <c r="C1128" s="5" t="s">
        <v>11</v>
      </c>
    </row>
    <row r="1129" spans="1:7" ht="15" x14ac:dyDescent="0.25">
      <c r="A1129" s="4">
        <v>69186</v>
      </c>
      <c r="B1129" s="5" t="s">
        <v>12</v>
      </c>
      <c r="C1129" s="5" t="s">
        <v>13</v>
      </c>
    </row>
    <row r="1130" spans="1:7" ht="15" x14ac:dyDescent="0.25">
      <c r="A1130" s="4">
        <v>69283</v>
      </c>
      <c r="B1130" s="5" t="s">
        <v>20</v>
      </c>
      <c r="C1130" s="5" t="s">
        <v>14</v>
      </c>
    </row>
    <row r="1131" spans="1:7" ht="15" x14ac:dyDescent="0.25">
      <c r="A1131" s="4">
        <v>69318</v>
      </c>
      <c r="B1131" s="5" t="s">
        <v>20</v>
      </c>
      <c r="C1131" s="5" t="s">
        <v>15</v>
      </c>
    </row>
    <row r="1132" spans="1:7" ht="15" x14ac:dyDescent="0.25">
      <c r="A1132" s="4">
        <v>69339</v>
      </c>
      <c r="B1132" s="5" t="s">
        <v>20</v>
      </c>
      <c r="C1132" s="5" t="s">
        <v>16</v>
      </c>
    </row>
    <row r="1133" spans="1:7" ht="15" x14ac:dyDescent="0.25">
      <c r="A1133" s="4">
        <v>69352</v>
      </c>
      <c r="B1133" s="5" t="s">
        <v>6</v>
      </c>
      <c r="C1133" s="5" t="s">
        <v>17</v>
      </c>
    </row>
    <row r="1134" spans="1:7" ht="15" x14ac:dyDescent="0.25">
      <c r="A1134" s="4">
        <v>69357</v>
      </c>
      <c r="B1134" s="5" t="s">
        <v>19</v>
      </c>
      <c r="C1134" s="5" t="s">
        <v>21</v>
      </c>
      <c r="G1134" s="8"/>
    </row>
    <row r="1135" spans="1:7" ht="15" x14ac:dyDescent="0.25">
      <c r="A1135" s="4">
        <v>69392</v>
      </c>
      <c r="B1135" s="5" t="s">
        <v>19</v>
      </c>
      <c r="C1135" s="5" t="s">
        <v>18</v>
      </c>
    </row>
    <row r="1136" spans="1:7" ht="15" x14ac:dyDescent="0.25">
      <c r="A1136" s="6">
        <v>69399</v>
      </c>
      <c r="B1136" s="7" t="s">
        <v>19</v>
      </c>
      <c r="C1136" s="7" t="s">
        <v>4</v>
      </c>
    </row>
    <row r="1137" spans="1:7" ht="15" x14ac:dyDescent="0.25">
      <c r="A1137" s="6">
        <v>69456</v>
      </c>
      <c r="B1137" s="7" t="s">
        <v>3</v>
      </c>
      <c r="C1137" s="7" t="s">
        <v>5</v>
      </c>
    </row>
    <row r="1138" spans="1:7" ht="15" x14ac:dyDescent="0.25">
      <c r="A1138" s="6">
        <v>69457</v>
      </c>
      <c r="B1138" s="7" t="s">
        <v>6</v>
      </c>
      <c r="C1138" s="7" t="s">
        <v>5</v>
      </c>
    </row>
    <row r="1139" spans="1:7" ht="15" x14ac:dyDescent="0.25">
      <c r="A1139" s="6">
        <v>69502</v>
      </c>
      <c r="B1139" s="7" t="s">
        <v>7</v>
      </c>
      <c r="C1139" s="7" t="s">
        <v>8</v>
      </c>
    </row>
    <row r="1140" spans="1:7" ht="15" x14ac:dyDescent="0.25">
      <c r="A1140" s="6">
        <v>69509</v>
      </c>
      <c r="B1140" s="7" t="s">
        <v>7</v>
      </c>
      <c r="C1140" s="7" t="s">
        <v>10</v>
      </c>
    </row>
    <row r="1141" spans="1:7" ht="15" x14ac:dyDescent="0.25">
      <c r="A1141" s="6">
        <v>69519</v>
      </c>
      <c r="B1141" s="7" t="s">
        <v>3</v>
      </c>
      <c r="C1141" s="7" t="s">
        <v>11</v>
      </c>
    </row>
    <row r="1142" spans="1:7" ht="15" x14ac:dyDescent="0.25">
      <c r="A1142" s="6">
        <v>69564</v>
      </c>
      <c r="B1142" s="7" t="s">
        <v>12</v>
      </c>
      <c r="C1142" s="7" t="s">
        <v>13</v>
      </c>
    </row>
    <row r="1143" spans="1:7" ht="15" x14ac:dyDescent="0.25">
      <c r="A1143" s="6">
        <v>69648</v>
      </c>
      <c r="B1143" s="7" t="s">
        <v>12</v>
      </c>
      <c r="C1143" s="7" t="s">
        <v>14</v>
      </c>
    </row>
    <row r="1144" spans="1:7" ht="15" x14ac:dyDescent="0.25">
      <c r="A1144" s="6">
        <v>69683</v>
      </c>
      <c r="B1144" s="7" t="s">
        <v>12</v>
      </c>
      <c r="C1144" s="7" t="s">
        <v>15</v>
      </c>
    </row>
    <row r="1145" spans="1:7" ht="15" x14ac:dyDescent="0.25">
      <c r="A1145" s="6">
        <v>69704</v>
      </c>
      <c r="B1145" s="7" t="s">
        <v>12</v>
      </c>
      <c r="C1145" s="7" t="s">
        <v>16</v>
      </c>
    </row>
    <row r="1146" spans="1:7" ht="15" x14ac:dyDescent="0.25">
      <c r="A1146" s="6">
        <v>69717</v>
      </c>
      <c r="B1146" s="7" t="s">
        <v>20</v>
      </c>
      <c r="C1146" s="7" t="s">
        <v>17</v>
      </c>
    </row>
    <row r="1147" spans="1:7" ht="15" x14ac:dyDescent="0.25">
      <c r="A1147" s="6">
        <v>69722</v>
      </c>
      <c r="B1147" s="7" t="s">
        <v>3</v>
      </c>
      <c r="C1147" s="7" t="s">
        <v>21</v>
      </c>
      <c r="G1147" s="8"/>
    </row>
    <row r="1148" spans="1:7" ht="15" x14ac:dyDescent="0.25">
      <c r="A1148" s="6">
        <v>69757</v>
      </c>
      <c r="B1148" s="7" t="s">
        <v>3</v>
      </c>
      <c r="C1148" s="7" t="s">
        <v>18</v>
      </c>
    </row>
    <row r="1149" spans="1:7" ht="15" x14ac:dyDescent="0.25">
      <c r="A1149" s="4">
        <v>69764</v>
      </c>
      <c r="B1149" s="5" t="s">
        <v>3</v>
      </c>
      <c r="C1149" s="5" t="s">
        <v>4</v>
      </c>
    </row>
    <row r="1150" spans="1:7" ht="15" x14ac:dyDescent="0.25">
      <c r="A1150" s="4">
        <v>69813</v>
      </c>
      <c r="B1150" s="5" t="s">
        <v>3</v>
      </c>
      <c r="C1150" s="5" t="s">
        <v>5</v>
      </c>
    </row>
    <row r="1151" spans="1:7" ht="15" x14ac:dyDescent="0.25">
      <c r="A1151" s="4">
        <v>69814</v>
      </c>
      <c r="B1151" s="5" t="s">
        <v>6</v>
      </c>
      <c r="C1151" s="5" t="s">
        <v>5</v>
      </c>
    </row>
    <row r="1152" spans="1:7" ht="15" x14ac:dyDescent="0.25">
      <c r="A1152" s="4">
        <v>69859</v>
      </c>
      <c r="B1152" s="5" t="s">
        <v>7</v>
      </c>
      <c r="C1152" s="5" t="s">
        <v>8</v>
      </c>
    </row>
    <row r="1153" spans="1:7" ht="15" x14ac:dyDescent="0.25">
      <c r="A1153" s="4">
        <v>69874</v>
      </c>
      <c r="B1153" s="5" t="s">
        <v>9</v>
      </c>
      <c r="C1153" s="5" t="s">
        <v>10</v>
      </c>
    </row>
    <row r="1154" spans="1:7" ht="15" x14ac:dyDescent="0.25">
      <c r="A1154" s="4">
        <v>69884</v>
      </c>
      <c r="B1154" s="5" t="s">
        <v>6</v>
      </c>
      <c r="C1154" s="5" t="s">
        <v>11</v>
      </c>
    </row>
    <row r="1155" spans="1:7" ht="15" x14ac:dyDescent="0.25">
      <c r="A1155" s="4">
        <v>69921</v>
      </c>
      <c r="B1155" s="5" t="s">
        <v>12</v>
      </c>
      <c r="C1155" s="5" t="s">
        <v>13</v>
      </c>
    </row>
    <row r="1156" spans="1:7" ht="15" x14ac:dyDescent="0.25">
      <c r="A1156" s="4">
        <v>70013</v>
      </c>
      <c r="B1156" s="5" t="s">
        <v>7</v>
      </c>
      <c r="C1156" s="5" t="s">
        <v>14</v>
      </c>
    </row>
    <row r="1157" spans="1:7" ht="15" x14ac:dyDescent="0.25">
      <c r="A1157" s="4">
        <v>70048</v>
      </c>
      <c r="B1157" s="5" t="s">
        <v>7</v>
      </c>
      <c r="C1157" s="5" t="s">
        <v>15</v>
      </c>
    </row>
    <row r="1158" spans="1:7" ht="15" x14ac:dyDescent="0.25">
      <c r="A1158" s="4">
        <v>70069</v>
      </c>
      <c r="B1158" s="5" t="s">
        <v>7</v>
      </c>
      <c r="C1158" s="5" t="s">
        <v>16</v>
      </c>
    </row>
    <row r="1159" spans="1:7" ht="15" x14ac:dyDescent="0.25">
      <c r="A1159" s="4">
        <v>70082</v>
      </c>
      <c r="B1159" s="5" t="s">
        <v>12</v>
      </c>
      <c r="C1159" s="5" t="s">
        <v>17</v>
      </c>
    </row>
    <row r="1160" spans="1:7" ht="15" x14ac:dyDescent="0.25">
      <c r="A1160" s="4">
        <v>70087</v>
      </c>
      <c r="B1160" s="5" t="s">
        <v>6</v>
      </c>
      <c r="C1160" s="5" t="s">
        <v>21</v>
      </c>
      <c r="G1160" s="8"/>
    </row>
    <row r="1161" spans="1:7" ht="15" x14ac:dyDescent="0.25">
      <c r="A1161" s="4">
        <v>70122</v>
      </c>
      <c r="B1161" s="5" t="s">
        <v>6</v>
      </c>
      <c r="C1161" s="5" t="s">
        <v>18</v>
      </c>
    </row>
    <row r="1162" spans="1:7" ht="15" x14ac:dyDescent="0.25">
      <c r="A1162" s="6">
        <v>70129</v>
      </c>
      <c r="B1162" s="7" t="s">
        <v>6</v>
      </c>
      <c r="C1162" s="7" t="s">
        <v>4</v>
      </c>
    </row>
    <row r="1163" spans="1:7" ht="15" x14ac:dyDescent="0.25">
      <c r="A1163" s="6">
        <v>70170</v>
      </c>
      <c r="B1163" s="7" t="s">
        <v>3</v>
      </c>
      <c r="C1163" s="7" t="s">
        <v>5</v>
      </c>
    </row>
    <row r="1164" spans="1:7" ht="15" x14ac:dyDescent="0.25">
      <c r="A1164" s="6">
        <v>70171</v>
      </c>
      <c r="B1164" s="7" t="s">
        <v>6</v>
      </c>
      <c r="C1164" s="7" t="s">
        <v>5</v>
      </c>
    </row>
    <row r="1165" spans="1:7" ht="15" x14ac:dyDescent="0.25">
      <c r="A1165" s="6">
        <v>70216</v>
      </c>
      <c r="B1165" s="7" t="s">
        <v>7</v>
      </c>
      <c r="C1165" s="7" t="s">
        <v>8</v>
      </c>
    </row>
    <row r="1166" spans="1:7" ht="15" x14ac:dyDescent="0.25">
      <c r="A1166" s="6">
        <v>70240</v>
      </c>
      <c r="B1166" s="7" t="s">
        <v>3</v>
      </c>
      <c r="C1166" s="7" t="s">
        <v>10</v>
      </c>
    </row>
    <row r="1167" spans="1:7" ht="15" x14ac:dyDescent="0.25">
      <c r="A1167" s="6">
        <v>70250</v>
      </c>
      <c r="B1167" s="7" t="s">
        <v>12</v>
      </c>
      <c r="C1167" s="7" t="s">
        <v>11</v>
      </c>
    </row>
    <row r="1168" spans="1:7" ht="15" x14ac:dyDescent="0.25">
      <c r="A1168" s="6">
        <v>70278</v>
      </c>
      <c r="B1168" s="7" t="s">
        <v>12</v>
      </c>
      <c r="C1168" s="7" t="s">
        <v>13</v>
      </c>
    </row>
    <row r="1169" spans="1:7" ht="15" x14ac:dyDescent="0.25">
      <c r="A1169" s="6">
        <v>70379</v>
      </c>
      <c r="B1169" s="7" t="s">
        <v>19</v>
      </c>
      <c r="C1169" s="7" t="s">
        <v>14</v>
      </c>
    </row>
    <row r="1170" spans="1:7" ht="15" x14ac:dyDescent="0.25">
      <c r="A1170" s="6">
        <v>70414</v>
      </c>
      <c r="B1170" s="7" t="s">
        <v>19</v>
      </c>
      <c r="C1170" s="7" t="s">
        <v>15</v>
      </c>
    </row>
    <row r="1171" spans="1:7" ht="15" x14ac:dyDescent="0.25">
      <c r="A1171" s="6">
        <v>70435</v>
      </c>
      <c r="B1171" s="7" t="s">
        <v>19</v>
      </c>
      <c r="C1171" s="7" t="s">
        <v>16</v>
      </c>
    </row>
    <row r="1172" spans="1:7" ht="15" x14ac:dyDescent="0.25">
      <c r="A1172" s="6">
        <v>70448</v>
      </c>
      <c r="B1172" s="7" t="s">
        <v>9</v>
      </c>
      <c r="C1172" s="7" t="s">
        <v>17</v>
      </c>
    </row>
    <row r="1173" spans="1:7" ht="15" x14ac:dyDescent="0.25">
      <c r="A1173" s="6">
        <v>70453</v>
      </c>
      <c r="B1173" s="7" t="s">
        <v>12</v>
      </c>
      <c r="C1173" s="7" t="s">
        <v>21</v>
      </c>
      <c r="G1173" s="8"/>
    </row>
    <row r="1174" spans="1:7" ht="15" x14ac:dyDescent="0.25">
      <c r="A1174" s="6">
        <v>70488</v>
      </c>
      <c r="B1174" s="7" t="s">
        <v>12</v>
      </c>
      <c r="C1174" s="7" t="s">
        <v>18</v>
      </c>
    </row>
    <row r="1175" spans="1:7" ht="15" x14ac:dyDescent="0.25">
      <c r="A1175" s="4">
        <v>70495</v>
      </c>
      <c r="B1175" s="5" t="s">
        <v>12</v>
      </c>
      <c r="C1175" s="5" t="s">
        <v>4</v>
      </c>
    </row>
    <row r="1176" spans="1:7" ht="15" x14ac:dyDescent="0.25">
      <c r="A1176" s="4">
        <v>70548</v>
      </c>
      <c r="B1176" s="5" t="s">
        <v>3</v>
      </c>
      <c r="C1176" s="5" t="s">
        <v>5</v>
      </c>
    </row>
    <row r="1177" spans="1:7" ht="15" x14ac:dyDescent="0.25">
      <c r="A1177" s="4">
        <v>70549</v>
      </c>
      <c r="B1177" s="5" t="s">
        <v>6</v>
      </c>
      <c r="C1177" s="5" t="s">
        <v>5</v>
      </c>
    </row>
    <row r="1178" spans="1:7" ht="15" x14ac:dyDescent="0.25">
      <c r="A1178" s="4">
        <v>70594</v>
      </c>
      <c r="B1178" s="5" t="s">
        <v>7</v>
      </c>
      <c r="C1178" s="5" t="s">
        <v>8</v>
      </c>
    </row>
    <row r="1179" spans="1:7" ht="15" x14ac:dyDescent="0.25">
      <c r="A1179" s="4">
        <v>70605</v>
      </c>
      <c r="B1179" s="5" t="s">
        <v>6</v>
      </c>
      <c r="C1179" s="5" t="s">
        <v>10</v>
      </c>
    </row>
    <row r="1180" spans="1:7" ht="15" x14ac:dyDescent="0.25">
      <c r="A1180" s="4">
        <v>70615</v>
      </c>
      <c r="B1180" s="5" t="s">
        <v>7</v>
      </c>
      <c r="C1180" s="5" t="s">
        <v>11</v>
      </c>
    </row>
    <row r="1181" spans="1:7" ht="15" x14ac:dyDescent="0.25">
      <c r="A1181" s="4">
        <v>70656</v>
      </c>
      <c r="B1181" s="5" t="s">
        <v>12</v>
      </c>
      <c r="C1181" s="5" t="s">
        <v>13</v>
      </c>
    </row>
    <row r="1182" spans="1:7" ht="15" x14ac:dyDescent="0.25">
      <c r="A1182" s="4">
        <v>70744</v>
      </c>
      <c r="B1182" s="5" t="s">
        <v>3</v>
      </c>
      <c r="C1182" s="5" t="s">
        <v>14</v>
      </c>
    </row>
    <row r="1183" spans="1:7" ht="15" x14ac:dyDescent="0.25">
      <c r="A1183" s="4">
        <v>70779</v>
      </c>
      <c r="B1183" s="5" t="s">
        <v>3</v>
      </c>
      <c r="C1183" s="5" t="s">
        <v>15</v>
      </c>
    </row>
    <row r="1184" spans="1:7" ht="15" x14ac:dyDescent="0.25">
      <c r="A1184" s="4">
        <v>70800</v>
      </c>
      <c r="B1184" s="5" t="s">
        <v>3</v>
      </c>
      <c r="C1184" s="5" t="s">
        <v>16</v>
      </c>
    </row>
    <row r="1185" spans="1:7" ht="15" x14ac:dyDescent="0.25">
      <c r="A1185" s="4">
        <v>70813</v>
      </c>
      <c r="B1185" s="5" t="s">
        <v>19</v>
      </c>
      <c r="C1185" s="5" t="s">
        <v>17</v>
      </c>
    </row>
    <row r="1186" spans="1:7" ht="15" x14ac:dyDescent="0.25">
      <c r="A1186" s="4">
        <v>70818</v>
      </c>
      <c r="B1186" s="5" t="s">
        <v>7</v>
      </c>
      <c r="C1186" s="5" t="s">
        <v>21</v>
      </c>
      <c r="G1186" s="8"/>
    </row>
    <row r="1187" spans="1:7" ht="15" x14ac:dyDescent="0.25">
      <c r="A1187" s="4">
        <v>70853</v>
      </c>
      <c r="B1187" s="5" t="s">
        <v>7</v>
      </c>
      <c r="C1187" s="5" t="s">
        <v>18</v>
      </c>
    </row>
    <row r="1188" spans="1:7" ht="15" x14ac:dyDescent="0.25">
      <c r="A1188" s="6">
        <v>70860</v>
      </c>
      <c r="B1188" s="7" t="s">
        <v>7</v>
      </c>
      <c r="C1188" s="7" t="s">
        <v>4</v>
      </c>
    </row>
    <row r="1189" spans="1:7" ht="15" x14ac:dyDescent="0.25">
      <c r="A1189" s="6">
        <v>70905</v>
      </c>
      <c r="B1189" s="7" t="s">
        <v>3</v>
      </c>
      <c r="C1189" s="7" t="s">
        <v>5</v>
      </c>
    </row>
    <row r="1190" spans="1:7" ht="15" x14ac:dyDescent="0.25">
      <c r="A1190" s="6">
        <v>70906</v>
      </c>
      <c r="B1190" s="7" t="s">
        <v>6</v>
      </c>
      <c r="C1190" s="7" t="s">
        <v>5</v>
      </c>
    </row>
    <row r="1191" spans="1:7" ht="15" x14ac:dyDescent="0.25">
      <c r="A1191" s="6">
        <v>70951</v>
      </c>
      <c r="B1191" s="7" t="s">
        <v>7</v>
      </c>
      <c r="C1191" s="7" t="s">
        <v>8</v>
      </c>
    </row>
    <row r="1192" spans="1:7" ht="15" x14ac:dyDescent="0.25">
      <c r="A1192" s="6">
        <v>70970</v>
      </c>
      <c r="B1192" s="7" t="s">
        <v>20</v>
      </c>
      <c r="C1192" s="7" t="s">
        <v>10</v>
      </c>
    </row>
    <row r="1193" spans="1:7" ht="15" x14ac:dyDescent="0.25">
      <c r="A1193" s="6">
        <v>70980</v>
      </c>
      <c r="B1193" s="7" t="s">
        <v>9</v>
      </c>
      <c r="C1193" s="7" t="s">
        <v>11</v>
      </c>
    </row>
    <row r="1194" spans="1:7" ht="15" x14ac:dyDescent="0.25">
      <c r="A1194" s="6">
        <v>71013</v>
      </c>
      <c r="B1194" s="7" t="s">
        <v>12</v>
      </c>
      <c r="C1194" s="7" t="s">
        <v>13</v>
      </c>
    </row>
    <row r="1195" spans="1:7" ht="15" x14ac:dyDescent="0.25">
      <c r="A1195" s="6">
        <v>71109</v>
      </c>
      <c r="B1195" s="7" t="s">
        <v>6</v>
      </c>
      <c r="C1195" s="7" t="s">
        <v>14</v>
      </c>
    </row>
    <row r="1196" spans="1:7" ht="15" x14ac:dyDescent="0.25">
      <c r="A1196" s="6">
        <v>71144</v>
      </c>
      <c r="B1196" s="7" t="s">
        <v>6</v>
      </c>
      <c r="C1196" s="7" t="s">
        <v>15</v>
      </c>
    </row>
    <row r="1197" spans="1:7" ht="15" x14ac:dyDescent="0.25">
      <c r="A1197" s="6">
        <v>71165</v>
      </c>
      <c r="B1197" s="7" t="s">
        <v>6</v>
      </c>
      <c r="C1197" s="7" t="s">
        <v>16</v>
      </c>
    </row>
    <row r="1198" spans="1:7" ht="15" x14ac:dyDescent="0.25">
      <c r="A1198" s="6">
        <v>71178</v>
      </c>
      <c r="B1198" s="7" t="s">
        <v>3</v>
      </c>
      <c r="C1198" s="7" t="s">
        <v>17</v>
      </c>
    </row>
    <row r="1199" spans="1:7" ht="15" x14ac:dyDescent="0.25">
      <c r="A1199" s="6">
        <v>71183</v>
      </c>
      <c r="B1199" s="7" t="s">
        <v>9</v>
      </c>
      <c r="C1199" s="7" t="s">
        <v>21</v>
      </c>
      <c r="G1199" s="8"/>
    </row>
    <row r="1200" spans="1:7" ht="15" x14ac:dyDescent="0.25">
      <c r="A1200" s="6">
        <v>71218</v>
      </c>
      <c r="B1200" s="7" t="s">
        <v>9</v>
      </c>
      <c r="C1200" s="7" t="s">
        <v>18</v>
      </c>
    </row>
    <row r="1201" spans="1:7" ht="15" x14ac:dyDescent="0.25">
      <c r="A1201" s="4">
        <v>71225</v>
      </c>
      <c r="B1201" s="5" t="s">
        <v>9</v>
      </c>
      <c r="C1201" s="5" t="s">
        <v>4</v>
      </c>
    </row>
    <row r="1202" spans="1:7" ht="15" x14ac:dyDescent="0.25">
      <c r="A1202" s="4">
        <v>71290</v>
      </c>
      <c r="B1202" s="5" t="s">
        <v>3</v>
      </c>
      <c r="C1202" s="5" t="s">
        <v>5</v>
      </c>
    </row>
    <row r="1203" spans="1:7" ht="15" x14ac:dyDescent="0.25">
      <c r="A1203" s="4">
        <v>71291</v>
      </c>
      <c r="B1203" s="5" t="s">
        <v>6</v>
      </c>
      <c r="C1203" s="5" t="s">
        <v>5</v>
      </c>
    </row>
    <row r="1204" spans="1:7" ht="15" x14ac:dyDescent="0.25">
      <c r="A1204" s="4">
        <v>71335</v>
      </c>
      <c r="B1204" s="5" t="s">
        <v>12</v>
      </c>
      <c r="C1204" s="5" t="s">
        <v>10</v>
      </c>
    </row>
    <row r="1205" spans="1:7" ht="15" x14ac:dyDescent="0.25">
      <c r="A1205" s="4">
        <v>71336</v>
      </c>
      <c r="B1205" s="5" t="s">
        <v>7</v>
      </c>
      <c r="C1205" s="5" t="s">
        <v>8</v>
      </c>
    </row>
    <row r="1206" spans="1:7" ht="15" x14ac:dyDescent="0.25">
      <c r="A1206" s="4">
        <v>71345</v>
      </c>
      <c r="B1206" s="5" t="s">
        <v>19</v>
      </c>
      <c r="C1206" s="5" t="s">
        <v>11</v>
      </c>
    </row>
    <row r="1207" spans="1:7" ht="15" x14ac:dyDescent="0.25">
      <c r="A1207" s="4">
        <v>71398</v>
      </c>
      <c r="B1207" s="5" t="s">
        <v>12</v>
      </c>
      <c r="C1207" s="5" t="s">
        <v>13</v>
      </c>
    </row>
    <row r="1208" spans="1:7" ht="15" x14ac:dyDescent="0.25">
      <c r="A1208" s="4">
        <v>71474</v>
      </c>
      <c r="B1208" s="5" t="s">
        <v>20</v>
      </c>
      <c r="C1208" s="5" t="s">
        <v>14</v>
      </c>
    </row>
    <row r="1209" spans="1:7" ht="15" x14ac:dyDescent="0.25">
      <c r="A1209" s="4">
        <v>71509</v>
      </c>
      <c r="B1209" s="5" t="s">
        <v>20</v>
      </c>
      <c r="C1209" s="5" t="s">
        <v>15</v>
      </c>
    </row>
    <row r="1210" spans="1:7" ht="15" x14ac:dyDescent="0.25">
      <c r="A1210" s="4">
        <v>71530</v>
      </c>
      <c r="B1210" s="5" t="s">
        <v>20</v>
      </c>
      <c r="C1210" s="5" t="s">
        <v>16</v>
      </c>
    </row>
    <row r="1211" spans="1:7" ht="15" x14ac:dyDescent="0.25">
      <c r="A1211" s="4">
        <v>71543</v>
      </c>
      <c r="B1211" s="5" t="s">
        <v>6</v>
      </c>
      <c r="C1211" s="5" t="s">
        <v>17</v>
      </c>
    </row>
    <row r="1212" spans="1:7" ht="15" x14ac:dyDescent="0.25">
      <c r="A1212" s="4">
        <v>71548</v>
      </c>
      <c r="B1212" s="5" t="s">
        <v>19</v>
      </c>
      <c r="C1212" s="5" t="s">
        <v>21</v>
      </c>
      <c r="G1212" s="8"/>
    </row>
    <row r="1213" spans="1:7" ht="15" x14ac:dyDescent="0.25">
      <c r="A1213" s="4">
        <v>71583</v>
      </c>
      <c r="B1213" s="5" t="s">
        <v>19</v>
      </c>
      <c r="C1213" s="5" t="s">
        <v>18</v>
      </c>
    </row>
    <row r="1214" spans="1:7" ht="15" x14ac:dyDescent="0.25">
      <c r="A1214" s="6">
        <v>71590</v>
      </c>
      <c r="B1214" s="7" t="s">
        <v>19</v>
      </c>
      <c r="C1214" s="7" t="s">
        <v>4</v>
      </c>
    </row>
    <row r="1215" spans="1:7" ht="15" x14ac:dyDescent="0.25">
      <c r="A1215" s="6">
        <v>71647</v>
      </c>
      <c r="B1215" s="7" t="s">
        <v>3</v>
      </c>
      <c r="C1215" s="7" t="s">
        <v>5</v>
      </c>
    </row>
    <row r="1216" spans="1:7" ht="15" x14ac:dyDescent="0.25">
      <c r="A1216" s="6">
        <v>71648</v>
      </c>
      <c r="B1216" s="7" t="s">
        <v>6</v>
      </c>
      <c r="C1216" s="7" t="s">
        <v>5</v>
      </c>
    </row>
    <row r="1217" spans="1:7" ht="15" x14ac:dyDescent="0.25">
      <c r="A1217" s="6">
        <v>71693</v>
      </c>
      <c r="B1217" s="7" t="s">
        <v>7</v>
      </c>
      <c r="C1217" s="7" t="s">
        <v>8</v>
      </c>
    </row>
    <row r="1218" spans="1:7" ht="15" x14ac:dyDescent="0.25">
      <c r="A1218" s="6">
        <v>71701</v>
      </c>
      <c r="B1218" s="7" t="s">
        <v>9</v>
      </c>
      <c r="C1218" s="7" t="s">
        <v>10</v>
      </c>
    </row>
    <row r="1219" spans="1:7" ht="15" x14ac:dyDescent="0.25">
      <c r="A1219" s="6">
        <v>71711</v>
      </c>
      <c r="B1219" s="7" t="s">
        <v>6</v>
      </c>
      <c r="C1219" s="7" t="s">
        <v>11</v>
      </c>
    </row>
    <row r="1220" spans="1:7" ht="15" x14ac:dyDescent="0.25">
      <c r="A1220" s="6">
        <v>71755</v>
      </c>
      <c r="B1220" s="7" t="s">
        <v>12</v>
      </c>
      <c r="C1220" s="7" t="s">
        <v>13</v>
      </c>
    </row>
    <row r="1221" spans="1:7" ht="15" x14ac:dyDescent="0.25">
      <c r="A1221" s="6">
        <v>71840</v>
      </c>
      <c r="B1221" s="7" t="s">
        <v>7</v>
      </c>
      <c r="C1221" s="7" t="s">
        <v>14</v>
      </c>
    </row>
    <row r="1222" spans="1:7" ht="15" x14ac:dyDescent="0.25">
      <c r="A1222" s="6">
        <v>71875</v>
      </c>
      <c r="B1222" s="7" t="s">
        <v>7</v>
      </c>
      <c r="C1222" s="7" t="s">
        <v>15</v>
      </c>
    </row>
    <row r="1223" spans="1:7" ht="15" x14ac:dyDescent="0.25">
      <c r="A1223" s="6">
        <v>71896</v>
      </c>
      <c r="B1223" s="7" t="s">
        <v>7</v>
      </c>
      <c r="C1223" s="7" t="s">
        <v>16</v>
      </c>
    </row>
    <row r="1224" spans="1:7" ht="15" x14ac:dyDescent="0.25">
      <c r="A1224" s="6">
        <v>71909</v>
      </c>
      <c r="B1224" s="7" t="s">
        <v>12</v>
      </c>
      <c r="C1224" s="7" t="s">
        <v>17</v>
      </c>
    </row>
    <row r="1225" spans="1:7" ht="15" x14ac:dyDescent="0.25">
      <c r="A1225" s="6">
        <v>71914</v>
      </c>
      <c r="B1225" s="7" t="s">
        <v>6</v>
      </c>
      <c r="C1225" s="7" t="s">
        <v>21</v>
      </c>
      <c r="G1225" s="8"/>
    </row>
    <row r="1226" spans="1:7" ht="15" x14ac:dyDescent="0.25">
      <c r="A1226" s="6">
        <v>71949</v>
      </c>
      <c r="B1226" s="7" t="s">
        <v>6</v>
      </c>
      <c r="C1226" s="7" t="s">
        <v>18</v>
      </c>
    </row>
    <row r="1227" spans="1:7" ht="15" x14ac:dyDescent="0.25">
      <c r="A1227" s="4">
        <v>71956</v>
      </c>
      <c r="B1227" s="5" t="s">
        <v>6</v>
      </c>
      <c r="C1227" s="5" t="s">
        <v>4</v>
      </c>
    </row>
    <row r="1228" spans="1:7" ht="15" x14ac:dyDescent="0.25">
      <c r="A1228" s="4">
        <v>71997</v>
      </c>
      <c r="B1228" s="5" t="s">
        <v>3</v>
      </c>
      <c r="C1228" s="5" t="s">
        <v>5</v>
      </c>
    </row>
    <row r="1229" spans="1:7" ht="15" x14ac:dyDescent="0.25">
      <c r="A1229" s="4">
        <v>71998</v>
      </c>
      <c r="B1229" s="5" t="s">
        <v>6</v>
      </c>
      <c r="C1229" s="5" t="s">
        <v>5</v>
      </c>
    </row>
    <row r="1230" spans="1:7" ht="15" x14ac:dyDescent="0.25">
      <c r="A1230" s="4">
        <v>72043</v>
      </c>
      <c r="B1230" s="5" t="s">
        <v>7</v>
      </c>
      <c r="C1230" s="5" t="s">
        <v>8</v>
      </c>
    </row>
    <row r="1231" spans="1:7" ht="15" x14ac:dyDescent="0.25">
      <c r="A1231" s="4">
        <v>72066</v>
      </c>
      <c r="B1231" s="5" t="s">
        <v>19</v>
      </c>
      <c r="C1231" s="5" t="s">
        <v>10</v>
      </c>
    </row>
    <row r="1232" spans="1:7" ht="15" x14ac:dyDescent="0.25">
      <c r="A1232" s="4">
        <v>72076</v>
      </c>
      <c r="B1232" s="5" t="s">
        <v>20</v>
      </c>
      <c r="C1232" s="5" t="s">
        <v>11</v>
      </c>
    </row>
    <row r="1233" spans="1:7" ht="15" x14ac:dyDescent="0.25">
      <c r="A1233" s="4">
        <v>72105</v>
      </c>
      <c r="B1233" s="5" t="s">
        <v>12</v>
      </c>
      <c r="C1233" s="5" t="s">
        <v>13</v>
      </c>
    </row>
    <row r="1234" spans="1:7" ht="15" x14ac:dyDescent="0.25">
      <c r="A1234" s="4">
        <v>72205</v>
      </c>
      <c r="B1234" s="5" t="s">
        <v>9</v>
      </c>
      <c r="C1234" s="5" t="s">
        <v>14</v>
      </c>
    </row>
    <row r="1235" spans="1:7" ht="15" x14ac:dyDescent="0.25">
      <c r="A1235" s="4">
        <v>72240</v>
      </c>
      <c r="B1235" s="5" t="s">
        <v>9</v>
      </c>
      <c r="C1235" s="5" t="s">
        <v>15</v>
      </c>
    </row>
    <row r="1236" spans="1:7" ht="15" x14ac:dyDescent="0.25">
      <c r="A1236" s="4">
        <v>72261</v>
      </c>
      <c r="B1236" s="5" t="s">
        <v>9</v>
      </c>
      <c r="C1236" s="5" t="s">
        <v>16</v>
      </c>
    </row>
    <row r="1237" spans="1:7" ht="15" x14ac:dyDescent="0.25">
      <c r="A1237" s="4">
        <v>72274</v>
      </c>
      <c r="B1237" s="5" t="s">
        <v>7</v>
      </c>
      <c r="C1237" s="5" t="s">
        <v>17</v>
      </c>
    </row>
    <row r="1238" spans="1:7" ht="15" x14ac:dyDescent="0.25">
      <c r="A1238" s="4">
        <v>72279</v>
      </c>
      <c r="B1238" s="5" t="s">
        <v>20</v>
      </c>
      <c r="C1238" s="5" t="s">
        <v>21</v>
      </c>
      <c r="G1238" s="8"/>
    </row>
    <row r="1239" spans="1:7" ht="15" x14ac:dyDescent="0.25">
      <c r="A1239" s="4">
        <v>72314</v>
      </c>
      <c r="B1239" s="5" t="s">
        <v>20</v>
      </c>
      <c r="C1239" s="5" t="s">
        <v>18</v>
      </c>
    </row>
    <row r="1240" spans="1:7" ht="15" x14ac:dyDescent="0.25">
      <c r="A1240" s="6">
        <v>72321</v>
      </c>
      <c r="B1240" s="7" t="s">
        <v>20</v>
      </c>
      <c r="C1240" s="7" t="s">
        <v>4</v>
      </c>
    </row>
    <row r="1241" spans="1:7" ht="15" x14ac:dyDescent="0.25">
      <c r="A1241" s="6">
        <v>72382</v>
      </c>
      <c r="B1241" s="7" t="s">
        <v>3</v>
      </c>
      <c r="C1241" s="7" t="s">
        <v>5</v>
      </c>
    </row>
    <row r="1242" spans="1:7" ht="15" x14ac:dyDescent="0.25">
      <c r="A1242" s="6">
        <v>72383</v>
      </c>
      <c r="B1242" s="7" t="s">
        <v>6</v>
      </c>
      <c r="C1242" s="7" t="s">
        <v>5</v>
      </c>
    </row>
    <row r="1243" spans="1:7" ht="15" x14ac:dyDescent="0.25">
      <c r="A1243" s="6">
        <v>72428</v>
      </c>
      <c r="B1243" s="7" t="s">
        <v>7</v>
      </c>
      <c r="C1243" s="7" t="s">
        <v>8</v>
      </c>
    </row>
    <row r="1244" spans="1:7" ht="15" x14ac:dyDescent="0.25">
      <c r="A1244" s="6">
        <v>72431</v>
      </c>
      <c r="B1244" s="7" t="s">
        <v>3</v>
      </c>
      <c r="C1244" s="7" t="s">
        <v>10</v>
      </c>
    </row>
    <row r="1245" spans="1:7" ht="15" x14ac:dyDescent="0.25">
      <c r="A1245" s="6">
        <v>72441</v>
      </c>
      <c r="B1245" s="7" t="s">
        <v>12</v>
      </c>
      <c r="C1245" s="7" t="s">
        <v>11</v>
      </c>
    </row>
    <row r="1246" spans="1:7" ht="15" x14ac:dyDescent="0.25">
      <c r="A1246" s="6">
        <v>72490</v>
      </c>
      <c r="B1246" s="7" t="s">
        <v>12</v>
      </c>
      <c r="C1246" s="7" t="s">
        <v>13</v>
      </c>
    </row>
    <row r="1247" spans="1:7" ht="15" x14ac:dyDescent="0.25">
      <c r="A1247" s="6">
        <v>72570</v>
      </c>
      <c r="B1247" s="7" t="s">
        <v>19</v>
      </c>
      <c r="C1247" s="7" t="s">
        <v>14</v>
      </c>
    </row>
    <row r="1248" spans="1:7" ht="15" x14ac:dyDescent="0.25">
      <c r="A1248" s="6">
        <v>72605</v>
      </c>
      <c r="B1248" s="7" t="s">
        <v>19</v>
      </c>
      <c r="C1248" s="7" t="s">
        <v>15</v>
      </c>
    </row>
    <row r="1249" spans="1:7" ht="15" x14ac:dyDescent="0.25">
      <c r="A1249" s="6">
        <v>72626</v>
      </c>
      <c r="B1249" s="7" t="s">
        <v>19</v>
      </c>
      <c r="C1249" s="7" t="s">
        <v>16</v>
      </c>
    </row>
    <row r="1250" spans="1:7" ht="15" x14ac:dyDescent="0.25">
      <c r="A1250" s="6">
        <v>72639</v>
      </c>
      <c r="B1250" s="7" t="s">
        <v>9</v>
      </c>
      <c r="C1250" s="7" t="s">
        <v>17</v>
      </c>
    </row>
    <row r="1251" spans="1:7" ht="15" x14ac:dyDescent="0.25">
      <c r="A1251" s="6">
        <v>72644</v>
      </c>
      <c r="B1251" s="7" t="s">
        <v>12</v>
      </c>
      <c r="C1251" s="7" t="s">
        <v>21</v>
      </c>
      <c r="G1251" s="8"/>
    </row>
    <row r="1252" spans="1:7" ht="15" x14ac:dyDescent="0.25">
      <c r="A1252" s="6">
        <v>72679</v>
      </c>
      <c r="B1252" s="7" t="s">
        <v>12</v>
      </c>
      <c r="C1252" s="7" t="s">
        <v>18</v>
      </c>
    </row>
    <row r="1253" spans="1:7" ht="15" x14ac:dyDescent="0.25">
      <c r="A1253" s="4">
        <v>72686</v>
      </c>
      <c r="B1253" s="5" t="s">
        <v>12</v>
      </c>
      <c r="C1253" s="5" t="s">
        <v>22</v>
      </c>
    </row>
    <row r="1254" spans="1:7" ht="15" x14ac:dyDescent="0.25">
      <c r="A1254" s="4">
        <v>72739</v>
      </c>
      <c r="B1254" s="5" t="s">
        <v>3</v>
      </c>
      <c r="C1254" s="5" t="s">
        <v>5</v>
      </c>
    </row>
    <row r="1255" spans="1:7" ht="15" x14ac:dyDescent="0.25">
      <c r="A1255" s="4">
        <v>72740</v>
      </c>
      <c r="B1255" s="5" t="s">
        <v>6</v>
      </c>
      <c r="C1255" s="5" t="s">
        <v>5</v>
      </c>
    </row>
    <row r="1256" spans="1:7" ht="15" x14ac:dyDescent="0.25">
      <c r="A1256" s="4">
        <v>72785</v>
      </c>
      <c r="B1256" s="5" t="s">
        <v>7</v>
      </c>
      <c r="C1256" s="5" t="s">
        <v>8</v>
      </c>
    </row>
    <row r="1257" spans="1:7" ht="15" x14ac:dyDescent="0.25">
      <c r="A1257" s="4">
        <v>72796</v>
      </c>
      <c r="B1257" s="5" t="s">
        <v>6</v>
      </c>
      <c r="C1257" s="5" t="s">
        <v>10</v>
      </c>
    </row>
    <row r="1258" spans="1:7" ht="15" x14ac:dyDescent="0.25">
      <c r="A1258" s="4">
        <v>72806</v>
      </c>
      <c r="B1258" s="5" t="s">
        <v>7</v>
      </c>
      <c r="C1258" s="5" t="s">
        <v>11</v>
      </c>
    </row>
    <row r="1259" spans="1:7" ht="15" x14ac:dyDescent="0.25">
      <c r="A1259" s="4">
        <v>72847</v>
      </c>
      <c r="B1259" s="5" t="s">
        <v>12</v>
      </c>
      <c r="C1259" s="5" t="s">
        <v>13</v>
      </c>
    </row>
    <row r="1260" spans="1:7" ht="15" x14ac:dyDescent="0.25">
      <c r="A1260" s="4">
        <v>72935</v>
      </c>
      <c r="B1260" s="5" t="s">
        <v>3</v>
      </c>
      <c r="C1260" s="5" t="s">
        <v>14</v>
      </c>
    </row>
    <row r="1261" spans="1:7" ht="15" x14ac:dyDescent="0.25">
      <c r="A1261" s="4">
        <v>72970</v>
      </c>
      <c r="B1261" s="5" t="s">
        <v>3</v>
      </c>
      <c r="C1261" s="5" t="s">
        <v>15</v>
      </c>
    </row>
    <row r="1262" spans="1:7" ht="15" x14ac:dyDescent="0.25">
      <c r="A1262" s="4">
        <v>72991</v>
      </c>
      <c r="B1262" s="5" t="s">
        <v>3</v>
      </c>
      <c r="C1262" s="5" t="s">
        <v>16</v>
      </c>
    </row>
    <row r="1263" spans="1:7" ht="15" x14ac:dyDescent="0.25">
      <c r="A1263" s="4">
        <v>73004</v>
      </c>
      <c r="B1263" s="5" t="s">
        <v>19</v>
      </c>
      <c r="C1263" s="5" t="s">
        <v>17</v>
      </c>
    </row>
    <row r="1264" spans="1:7" ht="15" x14ac:dyDescent="0.25">
      <c r="A1264" s="4">
        <v>73009</v>
      </c>
      <c r="B1264" s="5" t="s">
        <v>7</v>
      </c>
      <c r="C1264" s="5" t="s">
        <v>21</v>
      </c>
    </row>
    <row r="1265" spans="1:3" ht="15" x14ac:dyDescent="0.25">
      <c r="A1265" s="4">
        <v>73044</v>
      </c>
      <c r="B1265" s="5" t="s">
        <v>7</v>
      </c>
      <c r="C1265" s="5" t="s">
        <v>18</v>
      </c>
    </row>
    <row r="1266" spans="1:3" x14ac:dyDescent="0.2">
      <c r="A1266" s="9" t="s">
        <v>23</v>
      </c>
    </row>
    <row r="1267" spans="1:3" x14ac:dyDescent="0.2">
      <c r="A1267" s="10"/>
    </row>
    <row r="1268" spans="1:3" x14ac:dyDescent="0.2">
      <c r="A1268" s="11" t="s">
        <v>24</v>
      </c>
    </row>
    <row r="1269" spans="1:3" x14ac:dyDescent="0.2">
      <c r="A1269" s="10"/>
    </row>
    <row r="1270" spans="1:3" x14ac:dyDescent="0.2">
      <c r="A1270" s="11" t="s">
        <v>25</v>
      </c>
    </row>
    <row r="1271" spans="1:3" x14ac:dyDescent="0.2">
      <c r="A1271" s="10"/>
    </row>
    <row r="1272" spans="1:3" x14ac:dyDescent="0.2">
      <c r="A1272" s="11" t="s">
        <v>26</v>
      </c>
    </row>
    <row r="1273" spans="1:3" x14ac:dyDescent="0.2">
      <c r="A1273" s="10"/>
    </row>
    <row r="1274" spans="1:3" x14ac:dyDescent="0.2">
      <c r="A1274" s="11" t="s">
        <v>27</v>
      </c>
    </row>
  </sheetData>
  <autoFilter ref="A1:C1274" xr:uid="{7F460845-7507-4264-9E49-0781CA206130}"/>
  <pageMargins left="0.78740157499999996" right="0.78740157499999996" top="0.984251969" bottom="0.984251969" header="0.49212598499999999" footer="0.49212598499999999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67DD-C292-4352-BFCF-525FC5E014A2}">
  <dimension ref="B1:G25"/>
  <sheetViews>
    <sheetView tabSelected="1" workbookViewId="0">
      <selection activeCell="G10" sqref="G10"/>
    </sheetView>
  </sheetViews>
  <sheetFormatPr defaultRowHeight="12.75" x14ac:dyDescent="0.2"/>
  <cols>
    <col min="2" max="2" width="19.140625" bestFit="1" customWidth="1"/>
    <col min="3" max="3" width="14.28515625" bestFit="1" customWidth="1"/>
    <col min="6" max="6" width="21.85546875" bestFit="1" customWidth="1"/>
    <col min="7" max="7" width="14.28515625" bestFit="1" customWidth="1"/>
  </cols>
  <sheetData>
    <row r="1" spans="2:7" x14ac:dyDescent="0.2">
      <c r="B1" s="22" t="s">
        <v>44</v>
      </c>
      <c r="C1" s="22"/>
      <c r="F1" s="22" t="s">
        <v>45</v>
      </c>
      <c r="G1" s="22"/>
    </row>
    <row r="2" spans="2:7" x14ac:dyDescent="0.2">
      <c r="B2" t="s">
        <v>28</v>
      </c>
      <c r="C2" s="8">
        <v>46171</v>
      </c>
      <c r="F2" t="s">
        <v>28</v>
      </c>
      <c r="G2" s="8">
        <v>46171</v>
      </c>
    </row>
    <row r="3" spans="2:7" x14ac:dyDescent="0.2">
      <c r="B3" t="s">
        <v>29</v>
      </c>
      <c r="C3" s="8">
        <v>46538</v>
      </c>
      <c r="F3" t="s">
        <v>29</v>
      </c>
      <c r="G3" s="8">
        <v>46538</v>
      </c>
    </row>
    <row r="4" spans="2:7" x14ac:dyDescent="0.2">
      <c r="B4" t="s">
        <v>31</v>
      </c>
      <c r="C4" s="19">
        <f>NETWORKDAYS(C2,C3,Feriados!$A$2:$A$1265)-1</f>
        <v>249</v>
      </c>
      <c r="F4" t="s">
        <v>31</v>
      </c>
      <c r="G4" s="19">
        <f>NETWORKDAYS(G2,G3,Feriados!$A$2:$A$1265)-1</f>
        <v>249</v>
      </c>
    </row>
    <row r="5" spans="2:7" x14ac:dyDescent="0.2">
      <c r="B5" t="s">
        <v>30</v>
      </c>
      <c r="C5">
        <f>C3-C2</f>
        <v>367</v>
      </c>
      <c r="F5" t="s">
        <v>30</v>
      </c>
      <c r="G5">
        <f>G3-G2</f>
        <v>367</v>
      </c>
    </row>
    <row r="7" spans="2:7" x14ac:dyDescent="0.2">
      <c r="B7" t="s">
        <v>32</v>
      </c>
      <c r="C7" s="13">
        <v>100000</v>
      </c>
      <c r="F7" t="s">
        <v>32</v>
      </c>
      <c r="G7" s="13">
        <v>100000</v>
      </c>
    </row>
    <row r="8" spans="2:7" x14ac:dyDescent="0.2">
      <c r="B8" t="s">
        <v>33</v>
      </c>
      <c r="C8" s="14">
        <v>0.13789999999999999</v>
      </c>
      <c r="F8" t="s">
        <v>33</v>
      </c>
      <c r="G8" s="14">
        <v>0.13789999999999999</v>
      </c>
    </row>
    <row r="9" spans="2:7" x14ac:dyDescent="0.2">
      <c r="B9" t="s">
        <v>52</v>
      </c>
      <c r="C9" s="15">
        <f>(1+C8)^(1/252)-1</f>
        <v>5.1276816027590044E-4</v>
      </c>
      <c r="F9" t="s">
        <v>52</v>
      </c>
      <c r="G9" s="15">
        <f>(1+G8)^(1/252)-1</f>
        <v>5.1276816027590044E-4</v>
      </c>
    </row>
    <row r="10" spans="2:7" x14ac:dyDescent="0.2">
      <c r="B10" t="s">
        <v>40</v>
      </c>
      <c r="C10" s="14">
        <v>1.17</v>
      </c>
      <c r="F10" t="s">
        <v>40</v>
      </c>
      <c r="G10" s="14">
        <v>0.97740000000000005</v>
      </c>
    </row>
    <row r="11" spans="2:7" x14ac:dyDescent="0.2">
      <c r="B11" t="s">
        <v>53</v>
      </c>
      <c r="C11" s="15">
        <f>((1+C8)^(1/252)-1)*C10</f>
        <v>5.9993874752280348E-4</v>
      </c>
      <c r="F11" t="s">
        <v>34</v>
      </c>
      <c r="G11" s="15">
        <f>((1+G8)^(1/252)-1)*G10</f>
        <v>5.0117959985366515E-4</v>
      </c>
    </row>
    <row r="13" spans="2:7" x14ac:dyDescent="0.2">
      <c r="B13" t="s">
        <v>35</v>
      </c>
      <c r="C13" s="16">
        <f>C7*(1+C11)^C4</f>
        <v>116106.76331021053</v>
      </c>
      <c r="F13" t="s">
        <v>35</v>
      </c>
      <c r="G13" s="16">
        <f>G7*(1+G11)^G4</f>
        <v>113287.93155618879</v>
      </c>
    </row>
    <row r="14" spans="2:7" x14ac:dyDescent="0.2">
      <c r="B14" t="s">
        <v>36</v>
      </c>
      <c r="C14" s="17">
        <f>C13-C7</f>
        <v>16106.763310210532</v>
      </c>
      <c r="F14" t="s">
        <v>36</v>
      </c>
      <c r="G14" s="17">
        <f>G13-G7</f>
        <v>13287.931556188792</v>
      </c>
    </row>
    <row r="15" spans="2:7" x14ac:dyDescent="0.2">
      <c r="B15" t="s">
        <v>37</v>
      </c>
      <c r="C15" s="17">
        <f>0.175*C14</f>
        <v>2818.6835792868428</v>
      </c>
      <c r="F15" t="s">
        <v>37</v>
      </c>
      <c r="G15" s="17">
        <v>0</v>
      </c>
    </row>
    <row r="16" spans="2:7" x14ac:dyDescent="0.2">
      <c r="B16" t="s">
        <v>38</v>
      </c>
      <c r="C16" s="17">
        <f>C13-C15</f>
        <v>113288.0797309237</v>
      </c>
      <c r="F16" t="s">
        <v>38</v>
      </c>
      <c r="G16" s="17">
        <f>G13-G15</f>
        <v>113287.93155618879</v>
      </c>
    </row>
    <row r="18" spans="2:7" x14ac:dyDescent="0.2">
      <c r="B18" t="s">
        <v>47</v>
      </c>
      <c r="C18" s="14">
        <f>C13/C7-1</f>
        <v>0.16106763310210526</v>
      </c>
      <c r="F18" t="s">
        <v>47</v>
      </c>
      <c r="G18" s="14">
        <f>G13/G7-1</f>
        <v>0.13287931556188792</v>
      </c>
    </row>
    <row r="19" spans="2:7" x14ac:dyDescent="0.2">
      <c r="B19" t="s">
        <v>39</v>
      </c>
      <c r="C19" s="14">
        <f>C16/C7-1</f>
        <v>0.13288079730923696</v>
      </c>
      <c r="F19" t="s">
        <v>39</v>
      </c>
      <c r="G19" s="14">
        <f>G16/G7-1</f>
        <v>0.13287931556188792</v>
      </c>
    </row>
    <row r="20" spans="2:7" x14ac:dyDescent="0.2">
      <c r="B20" t="s">
        <v>42</v>
      </c>
      <c r="C20" s="14">
        <f>((1+C11)^C4)^(252/C4)-1</f>
        <v>0.16315859543462796</v>
      </c>
      <c r="F20" t="s">
        <v>42</v>
      </c>
      <c r="G20" s="14">
        <f>((1+G11)^G4)^(252/G4)-1</f>
        <v>0.13458349738391862</v>
      </c>
    </row>
    <row r="21" spans="2:7" x14ac:dyDescent="0.2">
      <c r="B21" t="s">
        <v>41</v>
      </c>
      <c r="C21" s="14">
        <f>(C16/C7)^(252/C4)-1</f>
        <v>0.13458499923949385</v>
      </c>
      <c r="F21" t="s">
        <v>41</v>
      </c>
      <c r="G21" s="14">
        <f>(G16/G7)^(252/G4)-1</f>
        <v>0.13458349738391862</v>
      </c>
    </row>
    <row r="23" spans="2:7" x14ac:dyDescent="0.2">
      <c r="B23" s="20" t="s">
        <v>43</v>
      </c>
      <c r="C23" s="21">
        <f>((1+C19)^(1/C4)-1)/C9</f>
        <v>0.97741024914032926</v>
      </c>
      <c r="F23" s="20" t="s">
        <v>46</v>
      </c>
      <c r="G23" s="21">
        <f>((1+(G19)/(1-0.175))^(1/G4)-1)/G9</f>
        <v>1.1699878771954415</v>
      </c>
    </row>
    <row r="24" spans="2:7" x14ac:dyDescent="0.2">
      <c r="C24" s="18"/>
    </row>
    <row r="25" spans="2:7" x14ac:dyDescent="0.2">
      <c r="C25" s="18"/>
    </row>
  </sheetData>
  <mergeCells count="2">
    <mergeCell ref="B1:C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Feriados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Campos</dc:creator>
  <cp:lastModifiedBy>Gabriel Campos</cp:lastModifiedBy>
  <dcterms:created xsi:type="dcterms:W3CDTF">2026-05-31T17:35:26Z</dcterms:created>
  <dcterms:modified xsi:type="dcterms:W3CDTF">2026-06-02T02:42:45Z</dcterms:modified>
</cp:coreProperties>
</file>